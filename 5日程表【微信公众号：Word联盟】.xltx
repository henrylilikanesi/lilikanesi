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桌面\我的桌面\"/>
    </mc:Choice>
  </mc:AlternateContent>
  <bookViews>
    <workbookView xWindow="0" yWindow="0" windowWidth="21600" windowHeight="11010" tabRatio="788"/>
  </bookViews>
  <sheets>
    <sheet name="日历" sheetId="14" r:id="rId1"/>
  </sheets>
  <definedNames>
    <definedName name="Calendar10Month">日历!$C$127</definedName>
    <definedName name="Calendar10MonthOption">MATCH(Calendar10Month,月,0)</definedName>
    <definedName name="Calendar10Year">日历!$B$127</definedName>
    <definedName name="Calendar11Month">日历!$C$141</definedName>
    <definedName name="Calendar11MonthOption">MATCH(Calendar11Month,月,0)</definedName>
    <definedName name="Calendar11Year">日历!$B$141</definedName>
    <definedName name="Calendar12Month">日历!$C$155</definedName>
    <definedName name="Calendar12MonthOption">MATCH(Calendar12Month,月,0)</definedName>
    <definedName name="Calendar12Year">日历!$B$155</definedName>
    <definedName name="Calendar1Month">日历!$C$1</definedName>
    <definedName name="Calendar1MonthOption">MATCH(Calendar1Month,月,0)</definedName>
    <definedName name="Calendar1Year">日历!$B$1</definedName>
    <definedName name="Calendar2Month">日历!$C$15</definedName>
    <definedName name="Calendar2MonthOption">MATCH(Calendar2Month,月,0)</definedName>
    <definedName name="Calendar2Year">日历!$B$15</definedName>
    <definedName name="Calendar3Month">日历!$C$29</definedName>
    <definedName name="Calendar3MonthOption">MATCH(Calendar3Month,月,0)</definedName>
    <definedName name="Calendar3Year">日历!$B$29</definedName>
    <definedName name="Calendar4Month">日历!$C$43</definedName>
    <definedName name="Calendar4MonthOption">MATCH(Calendar4Month,月,0)</definedName>
    <definedName name="Calendar4Year">日历!$B$43</definedName>
    <definedName name="Calendar5Month">日历!$C$57</definedName>
    <definedName name="Calendar5MonthOption">MATCH(Calendar5Month,月,0)</definedName>
    <definedName name="Calendar5Year">日历!$B$57</definedName>
    <definedName name="Calendar6Month">日历!$C$71</definedName>
    <definedName name="Calendar6MonthOption">MATCH(Calendar6Month,月,0)</definedName>
    <definedName name="Calendar6Year">日历!$B$71</definedName>
    <definedName name="Calendar7Month">日历!$C$85</definedName>
    <definedName name="Calendar7MonthOption">MATCH(Calendar7Month,月,0)</definedName>
    <definedName name="Calendar7Year">日历!$B$85</definedName>
    <definedName name="Calendar8Month">日历!$C$99</definedName>
    <definedName name="Calendar8MonthOption">MATCH(Calendar8Month,月,0)</definedName>
    <definedName name="Calendar8Year">日历!$B$99</definedName>
    <definedName name="Calendar9Month">日历!$C$113</definedName>
    <definedName name="Calendar9MonthOption">MATCH(Calendar9Month,月,0)</definedName>
    <definedName name="Calendar9Year">日历!$B$113</definedName>
    <definedName name="_xlnm.Print_Area" localSheetId="0">日历!$B$1:$I$168</definedName>
    <definedName name="WeekdayOption">MATCH(WeekStart,工作日,0)+10</definedName>
    <definedName name="WeekStart">日历!$B$2</definedName>
    <definedName name="WeekStartValue">IF(WeekStart="星期一",2,1)</definedName>
    <definedName name="工作日">{"星期一","星期二","星期三","星期四","星期五","星期六","星期日"}</definedName>
    <definedName name="日">{0,1,2,3,4,5,6}</definedName>
    <definedName name="月">{"1月","2月","3月","4月","5月","6月","7月","8月","9月","10月","11月","12月"}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14" l="1"/>
  <c r="C15" i="14" s="1"/>
  <c r="B13" i="14" l="1" a="1"/>
  <c r="B11" i="14" a="1"/>
  <c r="B9" i="14" a="1"/>
  <c r="B7" i="14" a="1"/>
  <c r="B5" i="14" a="1"/>
  <c r="B3" i="14" a="1"/>
  <c r="B15" i="14"/>
  <c r="C29" i="14" s="1"/>
  <c r="H3" i="14" l="1"/>
  <c r="H2" i="14" s="1"/>
  <c r="G3" i="14"/>
  <c r="G2" i="14" s="1"/>
  <c r="F3" i="14"/>
  <c r="F2" i="14" s="1"/>
  <c r="E3" i="14"/>
  <c r="E2" i="14" s="1"/>
  <c r="D3" i="14"/>
  <c r="D2" i="14" s="1"/>
  <c r="C3" i="14"/>
  <c r="C2" i="14" s="1"/>
  <c r="B3" i="14"/>
  <c r="H5" i="14"/>
  <c r="G5" i="14"/>
  <c r="F5" i="14"/>
  <c r="E5" i="14"/>
  <c r="D5" i="14"/>
  <c r="C5" i="14"/>
  <c r="B5" i="14"/>
  <c r="H7" i="14"/>
  <c r="G7" i="14"/>
  <c r="F7" i="14"/>
  <c r="E7" i="14"/>
  <c r="D7" i="14"/>
  <c r="C7" i="14"/>
  <c r="B7" i="14"/>
  <c r="H9" i="14"/>
  <c r="G9" i="14"/>
  <c r="F9" i="14"/>
  <c r="E9" i="14"/>
  <c r="D9" i="14"/>
  <c r="C9" i="14"/>
  <c r="B9" i="14"/>
  <c r="H11" i="14"/>
  <c r="G11" i="14"/>
  <c r="F11" i="14"/>
  <c r="E11" i="14"/>
  <c r="D11" i="14"/>
  <c r="C11" i="14"/>
  <c r="B11" i="14"/>
  <c r="C13" i="14"/>
  <c r="B13" i="14"/>
  <c r="B27" i="14" a="1"/>
  <c r="C27" i="14" l="1"/>
  <c r="B27" i="14"/>
  <c r="B17" i="14" a="1"/>
  <c r="B19" i="14" a="1"/>
  <c r="B21" i="14" a="1"/>
  <c r="B23" i="14" a="1"/>
  <c r="B25" i="14" a="1"/>
  <c r="B29" i="14"/>
  <c r="C43" i="14" s="1"/>
  <c r="B41" i="14" l="1" a="1"/>
  <c r="B39" i="14" a="1"/>
  <c r="B37" i="14" a="1"/>
  <c r="B35" i="14" a="1"/>
  <c r="B33" i="14" a="1"/>
  <c r="B31" i="14" a="1"/>
  <c r="H25" i="14"/>
  <c r="G25" i="14"/>
  <c r="F25" i="14"/>
  <c r="E25" i="14"/>
  <c r="D25" i="14"/>
  <c r="C25" i="14"/>
  <c r="B25" i="14"/>
  <c r="H23" i="14"/>
  <c r="G23" i="14"/>
  <c r="F23" i="14"/>
  <c r="E23" i="14"/>
  <c r="D23" i="14"/>
  <c r="C23" i="14"/>
  <c r="B23" i="14"/>
  <c r="H21" i="14"/>
  <c r="G21" i="14"/>
  <c r="F21" i="14"/>
  <c r="E21" i="14"/>
  <c r="D21" i="14"/>
  <c r="C21" i="14"/>
  <c r="B21" i="14"/>
  <c r="H19" i="14"/>
  <c r="G19" i="14"/>
  <c r="F19" i="14"/>
  <c r="E19" i="14"/>
  <c r="D19" i="14"/>
  <c r="C19" i="14"/>
  <c r="B19" i="14"/>
  <c r="H17" i="14"/>
  <c r="H16" i="14" s="1"/>
  <c r="G17" i="14"/>
  <c r="G16" i="14" s="1"/>
  <c r="F17" i="14"/>
  <c r="F16" i="14" s="1"/>
  <c r="E17" i="14"/>
  <c r="E16" i="14" s="1"/>
  <c r="D17" i="14"/>
  <c r="D16" i="14" s="1"/>
  <c r="C17" i="14"/>
  <c r="C16" i="14" s="1"/>
  <c r="B17" i="14"/>
  <c r="B16" i="14" s="1"/>
  <c r="B43" i="14"/>
  <c r="C57" i="14" s="1"/>
  <c r="B55" i="14" l="1" a="1"/>
  <c r="B53" i="14" a="1"/>
  <c r="B51" i="14" a="1"/>
  <c r="B49" i="14" a="1"/>
  <c r="B47" i="14" a="1"/>
  <c r="B45" i="14" a="1"/>
  <c r="H31" i="14"/>
  <c r="H30" i="14" s="1"/>
  <c r="G31" i="14"/>
  <c r="G30" i="14" s="1"/>
  <c r="F31" i="14"/>
  <c r="F30" i="14" s="1"/>
  <c r="E31" i="14"/>
  <c r="E30" i="14" s="1"/>
  <c r="D31" i="14"/>
  <c r="D30" i="14" s="1"/>
  <c r="C31" i="14"/>
  <c r="C30" i="14" s="1"/>
  <c r="B31" i="14"/>
  <c r="B30" i="14" s="1"/>
  <c r="H33" i="14"/>
  <c r="G33" i="14"/>
  <c r="F33" i="14"/>
  <c r="E33" i="14"/>
  <c r="D33" i="14"/>
  <c r="C33" i="14"/>
  <c r="B33" i="14"/>
  <c r="H35" i="14"/>
  <c r="G35" i="14"/>
  <c r="F35" i="14"/>
  <c r="E35" i="14"/>
  <c r="D35" i="14"/>
  <c r="C35" i="14"/>
  <c r="B35" i="14"/>
  <c r="H37" i="14"/>
  <c r="G37" i="14"/>
  <c r="F37" i="14"/>
  <c r="E37" i="14"/>
  <c r="D37" i="14"/>
  <c r="C37" i="14"/>
  <c r="B37" i="14"/>
  <c r="H39" i="14"/>
  <c r="G39" i="14"/>
  <c r="F39" i="14"/>
  <c r="E39" i="14"/>
  <c r="D39" i="14"/>
  <c r="C39" i="14"/>
  <c r="B39" i="14"/>
  <c r="C41" i="14"/>
  <c r="B41" i="14"/>
  <c r="B57" i="14"/>
  <c r="C71" i="14" s="1"/>
  <c r="B69" i="14" l="1" a="1"/>
  <c r="B67" i="14" a="1"/>
  <c r="B65" i="14" a="1"/>
  <c r="B63" i="14" a="1"/>
  <c r="B61" i="14" a="1"/>
  <c r="B59" i="14" a="1"/>
  <c r="H45" i="14"/>
  <c r="H44" i="14" s="1"/>
  <c r="G45" i="14"/>
  <c r="G44" i="14" s="1"/>
  <c r="F45" i="14"/>
  <c r="F44" i="14" s="1"/>
  <c r="E45" i="14"/>
  <c r="E44" i="14" s="1"/>
  <c r="D45" i="14"/>
  <c r="D44" i="14" s="1"/>
  <c r="C45" i="14"/>
  <c r="C44" i="14" s="1"/>
  <c r="B45" i="14"/>
  <c r="B44" i="14" s="1"/>
  <c r="H47" i="14"/>
  <c r="G47" i="14"/>
  <c r="F47" i="14"/>
  <c r="E47" i="14"/>
  <c r="D47" i="14"/>
  <c r="C47" i="14"/>
  <c r="B47" i="14"/>
  <c r="H49" i="14"/>
  <c r="G49" i="14"/>
  <c r="F49" i="14"/>
  <c r="E49" i="14"/>
  <c r="D49" i="14"/>
  <c r="C49" i="14"/>
  <c r="B49" i="14"/>
  <c r="H51" i="14"/>
  <c r="G51" i="14"/>
  <c r="F51" i="14"/>
  <c r="E51" i="14"/>
  <c r="D51" i="14"/>
  <c r="C51" i="14"/>
  <c r="B51" i="14"/>
  <c r="H53" i="14"/>
  <c r="G53" i="14"/>
  <c r="F53" i="14"/>
  <c r="E53" i="14"/>
  <c r="D53" i="14"/>
  <c r="C53" i="14"/>
  <c r="B53" i="14"/>
  <c r="C55" i="14"/>
  <c r="B55" i="14"/>
  <c r="B71" i="14"/>
  <c r="C85" i="14" s="1"/>
  <c r="B83" i="14" l="1" a="1"/>
  <c r="B81" i="14" a="1"/>
  <c r="B79" i="14" a="1"/>
  <c r="B77" i="14" a="1"/>
  <c r="B75" i="14" a="1"/>
  <c r="B73" i="14" a="1"/>
  <c r="H59" i="14"/>
  <c r="H58" i="14" s="1"/>
  <c r="G59" i="14"/>
  <c r="G58" i="14" s="1"/>
  <c r="F59" i="14"/>
  <c r="F58" i="14" s="1"/>
  <c r="E59" i="14"/>
  <c r="E58" i="14" s="1"/>
  <c r="D59" i="14"/>
  <c r="D58" i="14" s="1"/>
  <c r="C59" i="14"/>
  <c r="C58" i="14" s="1"/>
  <c r="B59" i="14"/>
  <c r="B58" i="14" s="1"/>
  <c r="H61" i="14"/>
  <c r="G61" i="14"/>
  <c r="F61" i="14"/>
  <c r="E61" i="14"/>
  <c r="D61" i="14"/>
  <c r="C61" i="14"/>
  <c r="B61" i="14"/>
  <c r="H63" i="14"/>
  <c r="G63" i="14"/>
  <c r="F63" i="14"/>
  <c r="E63" i="14"/>
  <c r="D63" i="14"/>
  <c r="C63" i="14"/>
  <c r="B63" i="14"/>
  <c r="H65" i="14"/>
  <c r="G65" i="14"/>
  <c r="F65" i="14"/>
  <c r="E65" i="14"/>
  <c r="D65" i="14"/>
  <c r="C65" i="14"/>
  <c r="B65" i="14"/>
  <c r="H67" i="14"/>
  <c r="G67" i="14"/>
  <c r="F67" i="14"/>
  <c r="E67" i="14"/>
  <c r="D67" i="14"/>
  <c r="C67" i="14"/>
  <c r="B67" i="14"/>
  <c r="C69" i="14"/>
  <c r="B69" i="14"/>
  <c r="B85" i="14"/>
  <c r="C99" i="14" s="1"/>
  <c r="B97" i="14" l="1" a="1"/>
  <c r="B95" i="14" a="1"/>
  <c r="B93" i="14" a="1"/>
  <c r="B91" i="14" a="1"/>
  <c r="B89" i="14" a="1"/>
  <c r="B87" i="14" a="1"/>
  <c r="H73" i="14"/>
  <c r="H72" i="14" s="1"/>
  <c r="G73" i="14"/>
  <c r="G72" i="14" s="1"/>
  <c r="F73" i="14"/>
  <c r="F72" i="14" s="1"/>
  <c r="E73" i="14"/>
  <c r="E72" i="14" s="1"/>
  <c r="D73" i="14"/>
  <c r="D72" i="14" s="1"/>
  <c r="C73" i="14"/>
  <c r="C72" i="14" s="1"/>
  <c r="B73" i="14"/>
  <c r="B72" i="14" s="1"/>
  <c r="H75" i="14"/>
  <c r="G75" i="14"/>
  <c r="F75" i="14"/>
  <c r="E75" i="14"/>
  <c r="D75" i="14"/>
  <c r="C75" i="14"/>
  <c r="B75" i="14"/>
  <c r="H77" i="14"/>
  <c r="G77" i="14"/>
  <c r="F77" i="14"/>
  <c r="E77" i="14"/>
  <c r="D77" i="14"/>
  <c r="C77" i="14"/>
  <c r="B77" i="14"/>
  <c r="H79" i="14"/>
  <c r="G79" i="14"/>
  <c r="F79" i="14"/>
  <c r="E79" i="14"/>
  <c r="D79" i="14"/>
  <c r="C79" i="14"/>
  <c r="B79" i="14"/>
  <c r="H81" i="14"/>
  <c r="G81" i="14"/>
  <c r="F81" i="14"/>
  <c r="E81" i="14"/>
  <c r="D81" i="14"/>
  <c r="C81" i="14"/>
  <c r="B81" i="14"/>
  <c r="C83" i="14"/>
  <c r="B83" i="14"/>
  <c r="B99" i="14"/>
  <c r="C113" i="14" s="1"/>
  <c r="B111" i="14" l="1" a="1"/>
  <c r="B109" i="14" a="1"/>
  <c r="B107" i="14" a="1"/>
  <c r="B105" i="14" a="1"/>
  <c r="B103" i="14" a="1"/>
  <c r="B101" i="14" a="1"/>
  <c r="H87" i="14"/>
  <c r="H86" i="14" s="1"/>
  <c r="G87" i="14"/>
  <c r="G86" i="14" s="1"/>
  <c r="F87" i="14"/>
  <c r="F86" i="14" s="1"/>
  <c r="E87" i="14"/>
  <c r="E86" i="14" s="1"/>
  <c r="D87" i="14"/>
  <c r="D86" i="14" s="1"/>
  <c r="C87" i="14"/>
  <c r="C86" i="14" s="1"/>
  <c r="B87" i="14"/>
  <c r="B86" i="14" s="1"/>
  <c r="H89" i="14"/>
  <c r="G89" i="14"/>
  <c r="F89" i="14"/>
  <c r="E89" i="14"/>
  <c r="D89" i="14"/>
  <c r="C89" i="14"/>
  <c r="B89" i="14"/>
  <c r="H91" i="14"/>
  <c r="G91" i="14"/>
  <c r="F91" i="14"/>
  <c r="E91" i="14"/>
  <c r="D91" i="14"/>
  <c r="C91" i="14"/>
  <c r="B91" i="14"/>
  <c r="H93" i="14"/>
  <c r="G93" i="14"/>
  <c r="F93" i="14"/>
  <c r="E93" i="14"/>
  <c r="D93" i="14"/>
  <c r="C93" i="14"/>
  <c r="B93" i="14"/>
  <c r="H95" i="14"/>
  <c r="G95" i="14"/>
  <c r="F95" i="14"/>
  <c r="E95" i="14"/>
  <c r="D95" i="14"/>
  <c r="C95" i="14"/>
  <c r="B95" i="14"/>
  <c r="C97" i="14"/>
  <c r="B97" i="14"/>
  <c r="B113" i="14"/>
  <c r="C127" i="14" s="1"/>
  <c r="B125" i="14" l="1" a="1"/>
  <c r="B123" i="14" a="1"/>
  <c r="B121" i="14" a="1"/>
  <c r="B119" i="14" a="1"/>
  <c r="B117" i="14" a="1"/>
  <c r="B115" i="14" a="1"/>
  <c r="H101" i="14"/>
  <c r="H100" i="14" s="1"/>
  <c r="G101" i="14"/>
  <c r="G100" i="14" s="1"/>
  <c r="F101" i="14"/>
  <c r="F100" i="14" s="1"/>
  <c r="E101" i="14"/>
  <c r="E100" i="14" s="1"/>
  <c r="D101" i="14"/>
  <c r="D100" i="14" s="1"/>
  <c r="C101" i="14"/>
  <c r="C100" i="14" s="1"/>
  <c r="B101" i="14"/>
  <c r="B100" i="14" s="1"/>
  <c r="H103" i="14"/>
  <c r="G103" i="14"/>
  <c r="F103" i="14"/>
  <c r="E103" i="14"/>
  <c r="D103" i="14"/>
  <c r="C103" i="14"/>
  <c r="B103" i="14"/>
  <c r="H105" i="14"/>
  <c r="G105" i="14"/>
  <c r="F105" i="14"/>
  <c r="E105" i="14"/>
  <c r="D105" i="14"/>
  <c r="C105" i="14"/>
  <c r="B105" i="14"/>
  <c r="H107" i="14"/>
  <c r="G107" i="14"/>
  <c r="F107" i="14"/>
  <c r="E107" i="14"/>
  <c r="D107" i="14"/>
  <c r="C107" i="14"/>
  <c r="B107" i="14"/>
  <c r="H109" i="14"/>
  <c r="G109" i="14"/>
  <c r="F109" i="14"/>
  <c r="E109" i="14"/>
  <c r="D109" i="14"/>
  <c r="C109" i="14"/>
  <c r="B109" i="14"/>
  <c r="C111" i="14"/>
  <c r="B111" i="14"/>
  <c r="B127" i="14"/>
  <c r="C141" i="14" s="1"/>
  <c r="B139" i="14" l="1" a="1"/>
  <c r="B137" i="14" a="1"/>
  <c r="B135" i="14" a="1"/>
  <c r="B133" i="14" a="1"/>
  <c r="B131" i="14" a="1"/>
  <c r="B129" i="14" a="1"/>
  <c r="H115" i="14"/>
  <c r="H114" i="14" s="1"/>
  <c r="G115" i="14"/>
  <c r="G114" i="14" s="1"/>
  <c r="F115" i="14"/>
  <c r="F114" i="14" s="1"/>
  <c r="E115" i="14"/>
  <c r="E114" i="14" s="1"/>
  <c r="D115" i="14"/>
  <c r="D114" i="14" s="1"/>
  <c r="C115" i="14"/>
  <c r="C114" i="14" s="1"/>
  <c r="B115" i="14"/>
  <c r="B114" i="14" s="1"/>
  <c r="H117" i="14"/>
  <c r="G117" i="14"/>
  <c r="F117" i="14"/>
  <c r="E117" i="14"/>
  <c r="D117" i="14"/>
  <c r="C117" i="14"/>
  <c r="B117" i="14"/>
  <c r="H119" i="14"/>
  <c r="G119" i="14"/>
  <c r="F119" i="14"/>
  <c r="E119" i="14"/>
  <c r="D119" i="14"/>
  <c r="C119" i="14"/>
  <c r="B119" i="14"/>
  <c r="H121" i="14"/>
  <c r="G121" i="14"/>
  <c r="F121" i="14"/>
  <c r="E121" i="14"/>
  <c r="D121" i="14"/>
  <c r="C121" i="14"/>
  <c r="B121" i="14"/>
  <c r="H123" i="14"/>
  <c r="G123" i="14"/>
  <c r="F123" i="14"/>
  <c r="E123" i="14"/>
  <c r="D123" i="14"/>
  <c r="C123" i="14"/>
  <c r="B123" i="14"/>
  <c r="C125" i="14"/>
  <c r="B125" i="14"/>
  <c r="B141" i="14"/>
  <c r="C155" i="14" s="1"/>
  <c r="B153" i="14" l="1" a="1"/>
  <c r="B151" i="14" a="1"/>
  <c r="B149" i="14" a="1"/>
  <c r="B147" i="14" a="1"/>
  <c r="B145" i="14" a="1"/>
  <c r="B143" i="14" a="1"/>
  <c r="H129" i="14"/>
  <c r="H128" i="14" s="1"/>
  <c r="G129" i="14"/>
  <c r="G128" i="14" s="1"/>
  <c r="F129" i="14"/>
  <c r="F128" i="14" s="1"/>
  <c r="E129" i="14"/>
  <c r="E128" i="14" s="1"/>
  <c r="D129" i="14"/>
  <c r="D128" i="14" s="1"/>
  <c r="C129" i="14"/>
  <c r="C128" i="14" s="1"/>
  <c r="B129" i="14"/>
  <c r="B128" i="14" s="1"/>
  <c r="H131" i="14"/>
  <c r="G131" i="14"/>
  <c r="F131" i="14"/>
  <c r="E131" i="14"/>
  <c r="D131" i="14"/>
  <c r="C131" i="14"/>
  <c r="B131" i="14"/>
  <c r="H133" i="14"/>
  <c r="G133" i="14"/>
  <c r="F133" i="14"/>
  <c r="E133" i="14"/>
  <c r="D133" i="14"/>
  <c r="C133" i="14"/>
  <c r="B133" i="14"/>
  <c r="H135" i="14"/>
  <c r="G135" i="14"/>
  <c r="F135" i="14"/>
  <c r="E135" i="14"/>
  <c r="D135" i="14"/>
  <c r="C135" i="14"/>
  <c r="B135" i="14"/>
  <c r="H137" i="14"/>
  <c r="G137" i="14"/>
  <c r="F137" i="14"/>
  <c r="E137" i="14"/>
  <c r="D137" i="14"/>
  <c r="C137" i="14"/>
  <c r="B137" i="14"/>
  <c r="C139" i="14"/>
  <c r="B139" i="14"/>
  <c r="B155" i="14"/>
  <c r="B167" i="14" l="1" a="1"/>
  <c r="B165" i="14" a="1"/>
  <c r="B163" i="14" a="1"/>
  <c r="B161" i="14" a="1"/>
  <c r="B159" i="14" a="1"/>
  <c r="B157" i="14" a="1"/>
  <c r="H143" i="14"/>
  <c r="H142" i="14" s="1"/>
  <c r="G143" i="14"/>
  <c r="G142" i="14" s="1"/>
  <c r="F143" i="14"/>
  <c r="F142" i="14" s="1"/>
  <c r="E143" i="14"/>
  <c r="E142" i="14" s="1"/>
  <c r="D143" i="14"/>
  <c r="D142" i="14" s="1"/>
  <c r="C143" i="14"/>
  <c r="C142" i="14" s="1"/>
  <c r="B143" i="14"/>
  <c r="B142" i="14" s="1"/>
  <c r="H145" i="14"/>
  <c r="G145" i="14"/>
  <c r="F145" i="14"/>
  <c r="E145" i="14"/>
  <c r="D145" i="14"/>
  <c r="C145" i="14"/>
  <c r="B145" i="14"/>
  <c r="H147" i="14"/>
  <c r="G147" i="14"/>
  <c r="F147" i="14"/>
  <c r="E147" i="14"/>
  <c r="D147" i="14"/>
  <c r="C147" i="14"/>
  <c r="B147" i="14"/>
  <c r="H149" i="14"/>
  <c r="G149" i="14"/>
  <c r="F149" i="14"/>
  <c r="E149" i="14"/>
  <c r="D149" i="14"/>
  <c r="C149" i="14"/>
  <c r="B149" i="14"/>
  <c r="H151" i="14"/>
  <c r="G151" i="14"/>
  <c r="F151" i="14"/>
  <c r="E151" i="14"/>
  <c r="D151" i="14"/>
  <c r="C151" i="14"/>
  <c r="B151" i="14"/>
  <c r="C153" i="14"/>
  <c r="B153" i="14"/>
  <c r="H157" i="14" l="1"/>
  <c r="H156" i="14" s="1"/>
  <c r="G157" i="14"/>
  <c r="G156" i="14" s="1"/>
  <c r="F157" i="14"/>
  <c r="F156" i="14" s="1"/>
  <c r="E157" i="14"/>
  <c r="E156" i="14" s="1"/>
  <c r="D157" i="14"/>
  <c r="D156" i="14" s="1"/>
  <c r="C157" i="14"/>
  <c r="C156" i="14" s="1"/>
  <c r="B157" i="14"/>
  <c r="B156" i="14" s="1"/>
  <c r="H159" i="14"/>
  <c r="G159" i="14"/>
  <c r="F159" i="14"/>
  <c r="E159" i="14"/>
  <c r="D159" i="14"/>
  <c r="C159" i="14"/>
  <c r="B159" i="14"/>
  <c r="H161" i="14"/>
  <c r="G161" i="14"/>
  <c r="F161" i="14"/>
  <c r="E161" i="14"/>
  <c r="D161" i="14"/>
  <c r="C161" i="14"/>
  <c r="B161" i="14"/>
  <c r="H163" i="14"/>
  <c r="G163" i="14"/>
  <c r="F163" i="14"/>
  <c r="E163" i="14"/>
  <c r="D163" i="14"/>
  <c r="C163" i="14"/>
  <c r="B163" i="14"/>
  <c r="H165" i="14"/>
  <c r="G165" i="14"/>
  <c r="F165" i="14"/>
  <c r="E165" i="14"/>
  <c r="D165" i="14"/>
  <c r="C165" i="14"/>
  <c r="B165" i="14"/>
  <c r="C167" i="14"/>
  <c r="B167" i="14"/>
</calcChain>
</file>

<file path=xl/sharedStrings.xml><?xml version="1.0" encoding="utf-8"?>
<sst xmlns="http://schemas.openxmlformats.org/spreadsheetml/2006/main" count="15" uniqueCount="4">
  <si>
    <t>备注：</t>
  </si>
  <si>
    <t>星期一</t>
    <phoneticPr fontId="2" type="noConversion"/>
  </si>
  <si>
    <t>3月</t>
  </si>
  <si>
    <t>公司会议（下午 7 点）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</si>
</sst>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dd"/>
  </numFmts>
  <fonts count="20" x14ac:knownFonts="1">
    <font>
      <sz val="1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8"/>
      <name val="Arial"/>
      <family val="2"/>
    </font>
    <font>
      <b/>
      <sz val="11"/>
      <color theme="0"/>
      <name val="Trebuchet MS"/>
      <family val="2"/>
      <scheme val="minor"/>
    </font>
    <font>
      <b/>
      <sz val="14"/>
      <color theme="0"/>
      <name val="Trebuchet MS"/>
      <family val="2"/>
      <scheme val="minor"/>
    </font>
    <font>
      <b/>
      <sz val="28"/>
      <color theme="0"/>
      <name val="Arial"/>
      <family val="2"/>
      <scheme val="major"/>
    </font>
    <font>
      <sz val="36"/>
      <color theme="4" tint="-0.24994659260841701"/>
      <name val="Trebuchet MS"/>
      <family val="2"/>
      <scheme val="minor"/>
    </font>
    <font>
      <b/>
      <sz val="11"/>
      <color theme="3"/>
      <name val="Arial"/>
      <family val="2"/>
      <scheme val="major"/>
    </font>
    <font>
      <sz val="16"/>
      <color theme="1"/>
      <name val="Trebuchet MS"/>
      <family val="2"/>
      <scheme val="minor"/>
    </font>
    <font>
      <b/>
      <sz val="11"/>
      <color theme="0"/>
      <name val="Arial"/>
      <family val="2"/>
      <scheme val="major"/>
    </font>
    <font>
      <sz val="11"/>
      <name val="Trebuchet MS"/>
      <family val="2"/>
      <scheme val="minor"/>
    </font>
    <font>
      <sz val="11"/>
      <color theme="1"/>
      <name val="Arial"/>
      <family val="2"/>
      <scheme val="major"/>
    </font>
    <font>
      <sz val="11"/>
      <color indexed="63"/>
      <name val="Trebuchet MS"/>
      <family val="2"/>
      <scheme val="minor"/>
    </font>
    <font>
      <sz val="11"/>
      <name val="微软雅黑"/>
      <family val="2"/>
      <charset val="134"/>
    </font>
    <font>
      <b/>
      <sz val="28"/>
      <color theme="0"/>
      <name val="微软雅黑"/>
      <family val="2"/>
      <charset val="134"/>
    </font>
    <font>
      <sz val="36"/>
      <color theme="4" tint="-0.24994659260841701"/>
      <name val="微软雅黑"/>
      <family val="2"/>
      <charset val="134"/>
    </font>
    <font>
      <sz val="1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7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  <border>
      <left/>
      <right style="thick">
        <color theme="0"/>
      </right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</borders>
  <cellStyleXfs count="13">
    <xf numFmtId="0" fontId="0" fillId="0" borderId="0" applyFill="0" applyBorder="0" applyProtection="0"/>
    <xf numFmtId="0" fontId="12" fillId="3" borderId="0" applyNumberFormat="0" applyBorder="0" applyAlignment="0" applyProtection="0"/>
    <xf numFmtId="0" fontId="6" fillId="0" borderId="0" applyNumberFormat="0" applyFill="0" applyProtection="0">
      <alignment horizontal="left" indent="3"/>
    </xf>
    <xf numFmtId="0" fontId="3" fillId="4" borderId="1" applyNumberFormat="0" applyAlignment="0" applyProtection="0"/>
    <xf numFmtId="0" fontId="4" fillId="5" borderId="2" applyNumberFormat="0" applyProtection="0">
      <alignment vertical="center"/>
    </xf>
    <xf numFmtId="176" fontId="8" fillId="0" borderId="9" applyFill="0" applyProtection="0">
      <alignment horizontal="left" vertical="center" wrapText="1" indent="1"/>
    </xf>
    <xf numFmtId="176" fontId="11" fillId="0" borderId="6" applyFill="0" applyProtection="0">
      <alignment horizontal="left" vertical="top" wrapText="1" indent="1"/>
    </xf>
    <xf numFmtId="176" fontId="1" fillId="0" borderId="0" applyNumberFormat="0" applyFill="0" applyProtection="0">
      <alignment horizontal="left" vertical="top" wrapText="1" indent="1"/>
    </xf>
    <xf numFmtId="176" fontId="10" fillId="0" borderId="8" applyNumberFormat="0" applyFill="0" applyProtection="0">
      <alignment horizontal="left" vertical="center" wrapText="1" indent="1"/>
    </xf>
    <xf numFmtId="0" fontId="5" fillId="6" borderId="0" applyNumberFormat="0" applyBorder="0" applyProtection="0">
      <alignment horizontal="center"/>
    </xf>
    <xf numFmtId="0" fontId="9" fillId="7" borderId="3" applyNumberFormat="0" applyProtection="0">
      <alignment horizontal="left" vertical="center" indent="1"/>
    </xf>
    <xf numFmtId="0" fontId="9" fillId="6" borderId="3" applyNumberFormat="0" applyProtection="0">
      <alignment horizontal="left" indent="1"/>
    </xf>
    <xf numFmtId="0" fontId="7" fillId="0" borderId="0" applyNumberFormat="0" applyFill="0" applyBorder="0" applyAlignment="0" applyProtection="0"/>
  </cellStyleXfs>
  <cellXfs count="21">
    <xf numFmtId="0" fontId="0" fillId="0" borderId="0" xfId="0"/>
    <xf numFmtId="0" fontId="13" fillId="2" borderId="0" xfId="0" applyFont="1" applyFill="1"/>
    <xf numFmtId="0" fontId="14" fillId="6" borderId="0" xfId="9" applyFont="1">
      <alignment horizontal="center"/>
    </xf>
    <xf numFmtId="0" fontId="15" fillId="0" borderId="0" xfId="2" applyFont="1">
      <alignment horizontal="left" indent="3"/>
    </xf>
    <xf numFmtId="0" fontId="13" fillId="0" borderId="0" xfId="0" applyFont="1"/>
    <xf numFmtId="0" fontId="16" fillId="0" borderId="0" xfId="0" applyFont="1"/>
    <xf numFmtId="0" fontId="17" fillId="7" borderId="3" xfId="10" applyFont="1" applyAlignment="1">
      <alignment horizontal="left" vertical="center" indent="1"/>
    </xf>
    <xf numFmtId="30" fontId="17" fillId="6" borderId="3" xfId="11" applyNumberFormat="1" applyFont="1" applyAlignment="1">
      <alignment horizontal="left" vertical="center" indent="1"/>
    </xf>
    <xf numFmtId="0" fontId="17" fillId="6" borderId="3" xfId="11" applyFont="1" applyAlignment="1">
      <alignment horizontal="left" vertical="center" indent="1"/>
    </xf>
    <xf numFmtId="176" fontId="18" fillId="0" borderId="9" xfId="5" applyFont="1" applyFill="1">
      <alignment horizontal="left" vertical="center" wrapText="1" indent="1"/>
    </xf>
    <xf numFmtId="176" fontId="18" fillId="0" borderId="4" xfId="5" applyFont="1" applyFill="1" applyBorder="1">
      <alignment horizontal="left" vertical="center" wrapText="1" indent="1"/>
    </xf>
    <xf numFmtId="0" fontId="19" fillId="0" borderId="6" xfId="6" applyNumberFormat="1" applyFont="1" applyFill="1">
      <alignment horizontal="left" vertical="top" wrapText="1" indent="1"/>
    </xf>
    <xf numFmtId="0" fontId="19" fillId="0" borderId="5" xfId="6" applyNumberFormat="1" applyFont="1" applyFill="1" applyBorder="1">
      <alignment horizontal="left" vertical="top" wrapText="1" indent="1"/>
    </xf>
    <xf numFmtId="14" fontId="15" fillId="0" borderId="0" xfId="2" applyNumberFormat="1" applyFont="1">
      <alignment horizontal="left" indent="3"/>
    </xf>
    <xf numFmtId="0" fontId="13" fillId="2" borderId="0" xfId="0" applyFont="1" applyFill="1" applyBorder="1"/>
    <xf numFmtId="0" fontId="19" fillId="0" borderId="7" xfId="6" applyNumberFormat="1" applyFont="1" applyFill="1" applyBorder="1">
      <alignment horizontal="left" vertical="top" wrapText="1" indent="1"/>
    </xf>
    <xf numFmtId="176" fontId="18" fillId="0" borderId="9" xfId="5" applyNumberFormat="1" applyFont="1" applyFill="1">
      <alignment horizontal="left" vertical="center" wrapText="1" indent="1"/>
    </xf>
    <xf numFmtId="176" fontId="13" fillId="0" borderId="8" xfId="8" applyFont="1" applyBorder="1">
      <alignment horizontal="left" vertical="center" wrapText="1" indent="1"/>
    </xf>
    <xf numFmtId="0" fontId="13" fillId="0" borderId="8" xfId="8" applyNumberFormat="1" applyFont="1">
      <alignment horizontal="left" vertical="center" wrapText="1" indent="1"/>
    </xf>
    <xf numFmtId="0" fontId="19" fillId="0" borderId="0" xfId="7" applyNumberFormat="1" applyFont="1">
      <alignment horizontal="left" vertical="top" wrapText="1" indent="1"/>
    </xf>
    <xf numFmtId="176" fontId="13" fillId="0" borderId="8" xfId="8" applyFont="1">
      <alignment horizontal="left" vertical="center" wrapText="1" indent="1"/>
    </xf>
  </cellXfs>
  <cellStyles count="13">
    <cellStyle name="40% - 着色 1" xfId="1" builtinId="31" customBuiltin="1"/>
    <cellStyle name="备注" xfId="7"/>
    <cellStyle name="备注页眉" xfId="8"/>
    <cellStyle name="标题" xfId="9" builtinId="15" customBuiltin="1"/>
    <cellStyle name="标题 1" xfId="2" builtinId="16" customBuiltin="1"/>
    <cellStyle name="标题 2" xfId="10" builtinId="17" customBuiltin="1"/>
    <cellStyle name="标题 3" xfId="11" builtinId="18" customBuiltin="1"/>
    <cellStyle name="标题 4" xfId="12" builtinId="19" customBuiltin="1"/>
    <cellStyle name="常规" xfId="0" builtinId="0" customBuiltin="1"/>
    <cellStyle name="天" xfId="5"/>
    <cellStyle name="天详细信息" xfId="6"/>
    <cellStyle name="着色 1" xfId="3" builtinId="29" customBuiltin="1"/>
    <cellStyle name="着色 5" xfId="4" builtinId="45" customBuiltin="1"/>
  </cellStyles>
  <dxfs count="12"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F1F2F5"/>
      <rgbColor rgb="00008080"/>
      <rgbColor rgb="00E4EAF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314265"/>
      <rgbColor rgb="00CCFFCC"/>
      <rgbColor rgb="00FFEECD"/>
      <rgbColor rgb="00D0D8E2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71778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4B4B4B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Academic Calendar">
      <a:dk1>
        <a:srgbClr val="000000"/>
      </a:dk1>
      <a:lt1>
        <a:srgbClr val="FFFFFF"/>
      </a:lt1>
      <a:dk2>
        <a:srgbClr val="616668"/>
      </a:dk2>
      <a:lt2>
        <a:srgbClr val="F8F8F9"/>
      </a:lt2>
      <a:accent1>
        <a:srgbClr val="329E95"/>
      </a:accent1>
      <a:accent2>
        <a:srgbClr val="F4812B"/>
      </a:accent2>
      <a:accent3>
        <a:srgbClr val="EDB000"/>
      </a:accent3>
      <a:accent4>
        <a:srgbClr val="79B142"/>
      </a:accent4>
      <a:accent5>
        <a:srgbClr val="E34742"/>
      </a:accent5>
      <a:accent6>
        <a:srgbClr val="6D426F"/>
      </a:accent6>
      <a:hlink>
        <a:srgbClr val="2388CF"/>
      </a:hlink>
      <a:folHlink>
        <a:srgbClr val="6D426F"/>
      </a:folHlink>
    </a:clrScheme>
    <a:fontScheme name="Custom 2">
      <a:majorFont>
        <a:latin typeface="Aria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-0.249977111117893"/>
    <pageSetUpPr autoPageBreaks="0" fitToPage="1"/>
  </sheetPr>
  <dimension ref="A1:H168"/>
  <sheetViews>
    <sheetView showGridLines="0" tabSelected="1" zoomScaleNormal="100" workbookViewId="0">
      <selection activeCell="F6" sqref="F6"/>
    </sheetView>
  </sheetViews>
  <sheetFormatPr defaultColWidth="8.75" defaultRowHeight="16.5" x14ac:dyDescent="0.3"/>
  <cols>
    <col min="1" max="1" width="2" style="4" customWidth="1"/>
    <col min="2" max="2" width="18.25" style="4" customWidth="1"/>
    <col min="3" max="8" width="17.625" style="4" customWidth="1"/>
    <col min="9" max="9" width="2.5" style="4" customWidth="1"/>
    <col min="10" max="13" width="8.75" style="4"/>
    <col min="14" max="14" width="6.75" style="4" customWidth="1"/>
    <col min="15" max="16384" width="8.75" style="4"/>
  </cols>
  <sheetData>
    <row r="1" spans="1:8" ht="54" customHeight="1" x14ac:dyDescent="0.75">
      <c r="A1" s="1"/>
      <c r="B1" s="2">
        <f ca="1">YEAR(TODAY())</f>
        <v>2018</v>
      </c>
      <c r="C1" s="3" t="s">
        <v>2</v>
      </c>
      <c r="D1" s="1"/>
      <c r="E1" s="1"/>
      <c r="F1" s="1"/>
      <c r="G1" s="1"/>
      <c r="H1" s="1"/>
    </row>
    <row r="2" spans="1:8" ht="14.25" customHeight="1" x14ac:dyDescent="0.35">
      <c r="A2" s="5"/>
      <c r="B2" s="6" t="s">
        <v>1</v>
      </c>
      <c r="C2" s="7" t="str">
        <f t="shared" ref="C2:H2" ca="1" si="0">UPPER(TEXT(C3,"aaaa"))</f>
        <v>星期二</v>
      </c>
      <c r="D2" s="6" t="str">
        <f t="shared" ca="1" si="0"/>
        <v>星期三</v>
      </c>
      <c r="E2" s="8" t="str">
        <f t="shared" ca="1" si="0"/>
        <v>星期四</v>
      </c>
      <c r="F2" s="6" t="str">
        <f t="shared" ca="1" si="0"/>
        <v>星期五</v>
      </c>
      <c r="G2" s="8" t="str">
        <f t="shared" ca="1" si="0"/>
        <v>星期六</v>
      </c>
      <c r="H2" s="6" t="str">
        <f t="shared" ca="1" si="0"/>
        <v>星期日</v>
      </c>
    </row>
    <row r="3" spans="1:8" ht="16.5" customHeight="1" x14ac:dyDescent="0.3">
      <c r="B3" s="9">
        <f t="array" aca="1" ref="B3:H3" ca="1">日+1+DATE(Calendar1Year,Calendar1MonthOption,1)-WEEKDAY(DATE(Calendar1Year,Calendar1MonthOption,1),WeekdayOption)</f>
        <v>43157</v>
      </c>
      <c r="C3" s="9">
        <f ca="1"/>
        <v>43158</v>
      </c>
      <c r="D3" s="9">
        <f ca="1"/>
        <v>43159</v>
      </c>
      <c r="E3" s="9">
        <f ca="1"/>
        <v>43160</v>
      </c>
      <c r="F3" s="9">
        <f ca="1"/>
        <v>43161</v>
      </c>
      <c r="G3" s="9">
        <f ca="1"/>
        <v>43162</v>
      </c>
      <c r="H3" s="10">
        <f ca="1"/>
        <v>43163</v>
      </c>
    </row>
    <row r="4" spans="1:8" ht="56.25" customHeight="1" x14ac:dyDescent="0.3">
      <c r="B4" s="11"/>
      <c r="C4" s="11"/>
      <c r="D4" s="11"/>
      <c r="E4" s="11"/>
      <c r="F4" s="11"/>
      <c r="G4" s="11"/>
      <c r="H4" s="12"/>
    </row>
    <row r="5" spans="1:8" ht="16.5" customHeight="1" x14ac:dyDescent="0.3">
      <c r="B5" s="9">
        <f t="array" aca="1" ref="B5:H5" ca="1">日+8+DATE(Calendar1Year,Calendar1MonthOption,1)-WEEKDAY(DATE(Calendar1Year,Calendar1MonthOption,1),WeekdayOption)</f>
        <v>43164</v>
      </c>
      <c r="C5" s="9">
        <f ca="1"/>
        <v>43165</v>
      </c>
      <c r="D5" s="9">
        <f ca="1"/>
        <v>43166</v>
      </c>
      <c r="E5" s="9">
        <f ca="1"/>
        <v>43167</v>
      </c>
      <c r="F5" s="9">
        <f ca="1"/>
        <v>43168</v>
      </c>
      <c r="G5" s="9">
        <f ca="1"/>
        <v>43169</v>
      </c>
      <c r="H5" s="10">
        <f ca="1"/>
        <v>43170</v>
      </c>
    </row>
    <row r="6" spans="1:8" ht="56.25" customHeight="1" x14ac:dyDescent="0.3">
      <c r="B6" s="11"/>
      <c r="C6" s="11"/>
      <c r="D6" s="11"/>
      <c r="E6" s="11" t="s">
        <v>3</v>
      </c>
      <c r="F6" s="11"/>
      <c r="G6" s="11"/>
      <c r="H6" s="11"/>
    </row>
    <row r="7" spans="1:8" ht="16.5" customHeight="1" x14ac:dyDescent="0.3">
      <c r="B7" s="9">
        <f t="array" aca="1" ref="B7:H7" ca="1">日+15+DATE(Calendar1Year,Calendar1MonthOption,1)-WEEKDAY(DATE(Calendar1Year,Calendar1MonthOption,1),WeekdayOption)</f>
        <v>43171</v>
      </c>
      <c r="C7" s="9">
        <f ca="1"/>
        <v>43172</v>
      </c>
      <c r="D7" s="9">
        <f ca="1"/>
        <v>43173</v>
      </c>
      <c r="E7" s="9">
        <f ca="1"/>
        <v>43174</v>
      </c>
      <c r="F7" s="9">
        <f ca="1"/>
        <v>43175</v>
      </c>
      <c r="G7" s="9">
        <f ca="1"/>
        <v>43176</v>
      </c>
      <c r="H7" s="10">
        <f ca="1"/>
        <v>43177</v>
      </c>
    </row>
    <row r="8" spans="1:8" ht="56.25" customHeight="1" x14ac:dyDescent="0.3">
      <c r="B8" s="11"/>
      <c r="C8" s="11"/>
      <c r="D8" s="11"/>
      <c r="E8" s="11"/>
      <c r="F8" s="11"/>
      <c r="G8" s="11"/>
      <c r="H8" s="12"/>
    </row>
    <row r="9" spans="1:8" ht="16.5" customHeight="1" x14ac:dyDescent="0.3">
      <c r="B9" s="9">
        <f t="array" aca="1" ref="B9:H9" ca="1">日+22+DATE(Calendar1Year,Calendar1MonthOption,1)-WEEKDAY(DATE(Calendar1Year,Calendar1MonthOption,1),WeekdayOption)</f>
        <v>43178</v>
      </c>
      <c r="C9" s="9">
        <f ca="1"/>
        <v>43179</v>
      </c>
      <c r="D9" s="9">
        <f ca="1"/>
        <v>43180</v>
      </c>
      <c r="E9" s="9">
        <f ca="1"/>
        <v>43181</v>
      </c>
      <c r="F9" s="9">
        <f ca="1"/>
        <v>43182</v>
      </c>
      <c r="G9" s="9">
        <f ca="1"/>
        <v>43183</v>
      </c>
      <c r="H9" s="10">
        <f ca="1"/>
        <v>43184</v>
      </c>
    </row>
    <row r="10" spans="1:8" ht="56.25" customHeight="1" x14ac:dyDescent="0.3">
      <c r="B10" s="11"/>
      <c r="C10" s="11"/>
      <c r="D10" s="11"/>
      <c r="E10" s="11"/>
      <c r="F10" s="11"/>
      <c r="G10" s="11"/>
      <c r="H10" s="12"/>
    </row>
    <row r="11" spans="1:8" ht="16.5" customHeight="1" x14ac:dyDescent="0.3">
      <c r="B11" s="9">
        <f t="array" aca="1" ref="B11:H11" ca="1">日+29+DATE(Calendar1Year,Calendar1MonthOption,1)-WEEKDAY(DATE(Calendar1Year,Calendar1MonthOption,1),WeekdayOption)</f>
        <v>43185</v>
      </c>
      <c r="C11" s="9">
        <f ca="1"/>
        <v>43186</v>
      </c>
      <c r="D11" s="9">
        <f ca="1"/>
        <v>43187</v>
      </c>
      <c r="E11" s="9">
        <f ca="1"/>
        <v>43188</v>
      </c>
      <c r="F11" s="9">
        <f ca="1"/>
        <v>43189</v>
      </c>
      <c r="G11" s="9">
        <f ca="1"/>
        <v>43190</v>
      </c>
      <c r="H11" s="10">
        <f ca="1"/>
        <v>43191</v>
      </c>
    </row>
    <row r="12" spans="1:8" ht="57" customHeight="1" x14ac:dyDescent="0.3">
      <c r="B12" s="11"/>
      <c r="C12" s="11"/>
      <c r="D12" s="11"/>
      <c r="E12" s="11"/>
      <c r="F12" s="11"/>
      <c r="G12" s="11"/>
      <c r="H12" s="12"/>
    </row>
    <row r="13" spans="1:8" ht="16.5" customHeight="1" x14ac:dyDescent="0.3">
      <c r="B13" s="9">
        <f t="array" aca="1" ref="B13:C13" ca="1">日+36+DATE(Calendar1Year,Calendar1MonthOption,1)-WEEKDAY(DATE(Calendar1Year,Calendar1MonthOption,1),WeekdayOption)</f>
        <v>43192</v>
      </c>
      <c r="C13" s="9">
        <f ca="1"/>
        <v>43193</v>
      </c>
      <c r="D13" s="18" t="s">
        <v>0</v>
      </c>
      <c r="E13" s="18"/>
      <c r="F13" s="18"/>
      <c r="G13" s="18"/>
      <c r="H13" s="18"/>
    </row>
    <row r="14" spans="1:8" ht="63.75" customHeight="1" x14ac:dyDescent="0.3">
      <c r="B14" s="11"/>
      <c r="C14" s="11"/>
      <c r="D14" s="19"/>
      <c r="E14" s="19"/>
      <c r="F14" s="19"/>
      <c r="G14" s="19"/>
      <c r="H14" s="19"/>
    </row>
    <row r="15" spans="1:8" ht="54" customHeight="1" x14ac:dyDescent="0.75">
      <c r="A15" s="1"/>
      <c r="B15" s="2">
        <f ca="1">YEAR(DATE(Calendar1Year,Calendar1MonthOption+1,1))</f>
        <v>2018</v>
      </c>
      <c r="C15" s="13" t="str">
        <f ca="1">TEXT(DATE(Calendar1Year,Calendar1MonthOption+1,1),"m月")</f>
        <v>4月</v>
      </c>
      <c r="D15" s="14"/>
      <c r="E15" s="14"/>
      <c r="F15" s="14"/>
      <c r="G15" s="14"/>
      <c r="H15" s="1"/>
    </row>
    <row r="16" spans="1:8" ht="14.25" customHeight="1" x14ac:dyDescent="0.35">
      <c r="A16" s="5"/>
      <c r="B16" s="6" t="str">
        <f t="shared" ref="B16:H16" ca="1" si="1">UPPER(TEXT(B17,"aaaa"))</f>
        <v>星期一</v>
      </c>
      <c r="C16" s="8" t="str">
        <f t="shared" ca="1" si="1"/>
        <v>星期二</v>
      </c>
      <c r="D16" s="6" t="str">
        <f t="shared" ca="1" si="1"/>
        <v>星期三</v>
      </c>
      <c r="E16" s="8" t="str">
        <f t="shared" ca="1" si="1"/>
        <v>星期四</v>
      </c>
      <c r="F16" s="6" t="str">
        <f t="shared" ca="1" si="1"/>
        <v>星期五</v>
      </c>
      <c r="G16" s="8" t="str">
        <f t="shared" ca="1" si="1"/>
        <v>星期六</v>
      </c>
      <c r="H16" s="6" t="str">
        <f t="shared" ca="1" si="1"/>
        <v>星期日</v>
      </c>
    </row>
    <row r="17" spans="1:8" ht="16.5" customHeight="1" x14ac:dyDescent="0.3">
      <c r="B17" s="9">
        <f t="array" aca="1" ref="B17:H17" ca="1">日+1+DATE(Calendar2Year,Calendar2MonthOption,1)-WEEKDAY(DATE(Calendar2Year,Calendar2MonthOption,1),WeekdayOption)</f>
        <v>43185</v>
      </c>
      <c r="C17" s="16">
        <f ca="1"/>
        <v>43186</v>
      </c>
      <c r="D17" s="16">
        <f ca="1"/>
        <v>43187</v>
      </c>
      <c r="E17" s="9">
        <f ca="1"/>
        <v>43188</v>
      </c>
      <c r="F17" s="9">
        <f ca="1"/>
        <v>43189</v>
      </c>
      <c r="G17" s="9">
        <f ca="1"/>
        <v>43190</v>
      </c>
      <c r="H17" s="10">
        <f ca="1"/>
        <v>43191</v>
      </c>
    </row>
    <row r="18" spans="1:8" ht="56.25" customHeight="1" x14ac:dyDescent="0.3">
      <c r="B18" s="11"/>
      <c r="C18" s="11"/>
      <c r="D18" s="11"/>
      <c r="E18" s="11"/>
      <c r="F18" s="11"/>
      <c r="G18" s="11"/>
      <c r="H18" s="12"/>
    </row>
    <row r="19" spans="1:8" ht="16.5" customHeight="1" x14ac:dyDescent="0.3">
      <c r="B19" s="9">
        <f t="array" aca="1" ref="B19:H19" ca="1">日+8+DATE(Calendar2Year,Calendar2MonthOption,1)-WEEKDAY(DATE(Calendar2Year,Calendar2MonthOption,1),WeekdayOption)</f>
        <v>43192</v>
      </c>
      <c r="C19" s="9">
        <f ca="1"/>
        <v>43193</v>
      </c>
      <c r="D19" s="9">
        <f ca="1"/>
        <v>43194</v>
      </c>
      <c r="E19" s="9">
        <f ca="1"/>
        <v>43195</v>
      </c>
      <c r="F19" s="9">
        <f ca="1"/>
        <v>43196</v>
      </c>
      <c r="G19" s="9">
        <f ca="1"/>
        <v>43197</v>
      </c>
      <c r="H19" s="10">
        <f ca="1"/>
        <v>43198</v>
      </c>
    </row>
    <row r="20" spans="1:8" ht="56.25" customHeight="1" x14ac:dyDescent="0.3">
      <c r="B20" s="11"/>
      <c r="C20" s="11"/>
      <c r="D20" s="11"/>
      <c r="E20" s="11"/>
      <c r="F20" s="11"/>
      <c r="G20" s="11"/>
      <c r="H20" s="12"/>
    </row>
    <row r="21" spans="1:8" ht="16.5" customHeight="1" x14ac:dyDescent="0.3">
      <c r="B21" s="9">
        <f t="array" aca="1" ref="B21:H21" ca="1">日+15+DATE(Calendar2Year,Calendar2MonthOption,1)-WEEKDAY(DATE(Calendar2Year,Calendar2MonthOption,1),WeekdayOption)</f>
        <v>43199</v>
      </c>
      <c r="C21" s="9">
        <f ca="1"/>
        <v>43200</v>
      </c>
      <c r="D21" s="9">
        <f ca="1"/>
        <v>43201</v>
      </c>
      <c r="E21" s="9">
        <f ca="1"/>
        <v>43202</v>
      </c>
      <c r="F21" s="9">
        <f ca="1"/>
        <v>43203</v>
      </c>
      <c r="G21" s="9">
        <f ca="1"/>
        <v>43204</v>
      </c>
      <c r="H21" s="10">
        <f ca="1"/>
        <v>43205</v>
      </c>
    </row>
    <row r="22" spans="1:8" ht="56.25" customHeight="1" x14ac:dyDescent="0.3">
      <c r="B22" s="11"/>
      <c r="C22" s="11"/>
      <c r="D22" s="11"/>
      <c r="E22" s="11"/>
      <c r="F22" s="11"/>
      <c r="G22" s="11"/>
      <c r="H22" s="12"/>
    </row>
    <row r="23" spans="1:8" ht="16.5" customHeight="1" x14ac:dyDescent="0.3">
      <c r="B23" s="9">
        <f t="array" aca="1" ref="B23:H23" ca="1">日+22+DATE(Calendar2Year,Calendar2MonthOption,1)-WEEKDAY(DATE(Calendar2Year,Calendar2MonthOption,1),WeekdayOption)</f>
        <v>43206</v>
      </c>
      <c r="C23" s="9">
        <f ca="1"/>
        <v>43207</v>
      </c>
      <c r="D23" s="9">
        <f ca="1"/>
        <v>43208</v>
      </c>
      <c r="E23" s="9">
        <f ca="1"/>
        <v>43209</v>
      </c>
      <c r="F23" s="9">
        <f ca="1"/>
        <v>43210</v>
      </c>
      <c r="G23" s="9">
        <f ca="1"/>
        <v>43211</v>
      </c>
      <c r="H23" s="10">
        <f ca="1"/>
        <v>43212</v>
      </c>
    </row>
    <row r="24" spans="1:8" ht="56.25" customHeight="1" x14ac:dyDescent="0.3">
      <c r="B24" s="11"/>
      <c r="C24" s="11"/>
      <c r="D24" s="11"/>
      <c r="E24" s="11"/>
      <c r="F24" s="11"/>
      <c r="G24" s="11"/>
      <c r="H24" s="12"/>
    </row>
    <row r="25" spans="1:8" ht="16.5" customHeight="1" x14ac:dyDescent="0.3">
      <c r="B25" s="9">
        <f t="array" aca="1" ref="B25:H25" ca="1">日+29+DATE(Calendar2Year,Calendar2MonthOption,1)-WEEKDAY(DATE(Calendar2Year,Calendar2MonthOption,1),WeekdayOption)</f>
        <v>43213</v>
      </c>
      <c r="C25" s="9">
        <f ca="1"/>
        <v>43214</v>
      </c>
      <c r="D25" s="9">
        <f ca="1"/>
        <v>43215</v>
      </c>
      <c r="E25" s="9">
        <f ca="1"/>
        <v>43216</v>
      </c>
      <c r="F25" s="9">
        <f ca="1"/>
        <v>43217</v>
      </c>
      <c r="G25" s="9">
        <f ca="1"/>
        <v>43218</v>
      </c>
      <c r="H25" s="10">
        <f ca="1"/>
        <v>43219</v>
      </c>
    </row>
    <row r="26" spans="1:8" ht="57" customHeight="1" x14ac:dyDescent="0.3">
      <c r="B26" s="11"/>
      <c r="C26" s="11"/>
      <c r="D26" s="11"/>
      <c r="E26" s="11"/>
      <c r="F26" s="11"/>
      <c r="G26" s="11"/>
      <c r="H26" s="15"/>
    </row>
    <row r="27" spans="1:8" ht="16.5" customHeight="1" x14ac:dyDescent="0.3">
      <c r="B27" s="9">
        <f t="array" aca="1" ref="B27:C27" ca="1">日+36+DATE(Calendar2Year,Calendar2MonthOption,1)-WEEKDAY(DATE(Calendar2Year,Calendar2MonthOption,1),WeekdayOption)</f>
        <v>43220</v>
      </c>
      <c r="C27" s="9">
        <f ca="1"/>
        <v>43221</v>
      </c>
      <c r="D27" s="20" t="s">
        <v>0</v>
      </c>
      <c r="E27" s="20"/>
      <c r="F27" s="20"/>
      <c r="G27" s="20"/>
      <c r="H27" s="20"/>
    </row>
    <row r="28" spans="1:8" ht="63.75" customHeight="1" x14ac:dyDescent="0.3">
      <c r="B28" s="11"/>
      <c r="C28" s="11"/>
      <c r="D28" s="19"/>
      <c r="E28" s="19"/>
      <c r="F28" s="19"/>
      <c r="G28" s="19"/>
      <c r="H28" s="19"/>
    </row>
    <row r="29" spans="1:8" ht="54" customHeight="1" x14ac:dyDescent="0.75">
      <c r="A29" s="1"/>
      <c r="B29" s="2">
        <f ca="1">YEAR(DATE(Calendar2Year,Calendar2MonthOption+1,1))</f>
        <v>2018</v>
      </c>
      <c r="C29" s="3" t="str">
        <f ca="1">TEXT(DATE(Calendar2Year,Calendar2MonthOption+1,1),"m月")</f>
        <v>5月</v>
      </c>
      <c r="D29" s="14"/>
      <c r="E29" s="14"/>
      <c r="F29" s="14"/>
      <c r="G29" s="14"/>
      <c r="H29" s="1"/>
    </row>
    <row r="30" spans="1:8" ht="14.25" customHeight="1" x14ac:dyDescent="0.35">
      <c r="A30" s="5"/>
      <c r="B30" s="6" t="str">
        <f t="shared" ref="B30:H30" ca="1" si="2">UPPER(TEXT(B31,"aaaa"))</f>
        <v>星期一</v>
      </c>
      <c r="C30" s="8" t="str">
        <f t="shared" ca="1" si="2"/>
        <v>星期二</v>
      </c>
      <c r="D30" s="6" t="str">
        <f t="shared" ca="1" si="2"/>
        <v>星期三</v>
      </c>
      <c r="E30" s="8" t="str">
        <f t="shared" ca="1" si="2"/>
        <v>星期四</v>
      </c>
      <c r="F30" s="6" t="str">
        <f t="shared" ca="1" si="2"/>
        <v>星期五</v>
      </c>
      <c r="G30" s="8" t="str">
        <f t="shared" ca="1" si="2"/>
        <v>星期六</v>
      </c>
      <c r="H30" s="6" t="str">
        <f t="shared" ca="1" si="2"/>
        <v>星期日</v>
      </c>
    </row>
    <row r="31" spans="1:8" ht="16.5" customHeight="1" x14ac:dyDescent="0.3">
      <c r="B31" s="9">
        <f t="array" aca="1" ref="B31:H31" ca="1">日+1+DATE(Calendar3Year,Calendar3MonthOption,1)-WEEKDAY(DATE(Calendar3Year,Calendar3MonthOption,1),WeekdayOption)</f>
        <v>43220</v>
      </c>
      <c r="C31" s="9">
        <f ca="1"/>
        <v>43221</v>
      </c>
      <c r="D31" s="9">
        <f ca="1"/>
        <v>43222</v>
      </c>
      <c r="E31" s="9">
        <f ca="1"/>
        <v>43223</v>
      </c>
      <c r="F31" s="9">
        <f ca="1"/>
        <v>43224</v>
      </c>
      <c r="G31" s="9">
        <f ca="1"/>
        <v>43225</v>
      </c>
      <c r="H31" s="10">
        <f ca="1"/>
        <v>43226</v>
      </c>
    </row>
    <row r="32" spans="1:8" ht="56.25" customHeight="1" x14ac:dyDescent="0.3">
      <c r="B32" s="11"/>
      <c r="C32" s="11"/>
      <c r="D32" s="11"/>
      <c r="E32" s="11"/>
      <c r="F32" s="11"/>
      <c r="G32" s="11"/>
      <c r="H32" s="12"/>
    </row>
    <row r="33" spans="1:8" ht="16.5" customHeight="1" x14ac:dyDescent="0.3">
      <c r="B33" s="9">
        <f t="array" aca="1" ref="B33:H33" ca="1">日+8+DATE(Calendar3Year,Calendar3MonthOption,1)-WEEKDAY(DATE(Calendar3Year,Calendar3MonthOption,1),WeekdayOption)</f>
        <v>43227</v>
      </c>
      <c r="C33" s="9">
        <f ca="1"/>
        <v>43228</v>
      </c>
      <c r="D33" s="9">
        <f ca="1"/>
        <v>43229</v>
      </c>
      <c r="E33" s="9">
        <f ca="1"/>
        <v>43230</v>
      </c>
      <c r="F33" s="9">
        <f ca="1"/>
        <v>43231</v>
      </c>
      <c r="G33" s="9">
        <f ca="1"/>
        <v>43232</v>
      </c>
      <c r="H33" s="10">
        <f ca="1"/>
        <v>43233</v>
      </c>
    </row>
    <row r="34" spans="1:8" ht="56.25" customHeight="1" x14ac:dyDescent="0.3">
      <c r="B34" s="11"/>
      <c r="C34" s="11"/>
      <c r="D34" s="11"/>
      <c r="E34" s="11"/>
      <c r="F34" s="11"/>
      <c r="G34" s="11"/>
      <c r="H34" s="12"/>
    </row>
    <row r="35" spans="1:8" ht="16.5" customHeight="1" x14ac:dyDescent="0.3">
      <c r="B35" s="9">
        <f t="array" aca="1" ref="B35:H35" ca="1">日+15+DATE(Calendar3Year,Calendar3MonthOption,1)-WEEKDAY(DATE(Calendar3Year,Calendar3MonthOption,1),WeekdayOption)</f>
        <v>43234</v>
      </c>
      <c r="C35" s="9">
        <f ca="1"/>
        <v>43235</v>
      </c>
      <c r="D35" s="9">
        <f ca="1"/>
        <v>43236</v>
      </c>
      <c r="E35" s="9">
        <f ca="1"/>
        <v>43237</v>
      </c>
      <c r="F35" s="9">
        <f ca="1"/>
        <v>43238</v>
      </c>
      <c r="G35" s="9">
        <f ca="1"/>
        <v>43239</v>
      </c>
      <c r="H35" s="10">
        <f ca="1"/>
        <v>43240</v>
      </c>
    </row>
    <row r="36" spans="1:8" ht="56.25" customHeight="1" x14ac:dyDescent="0.3">
      <c r="B36" s="11"/>
      <c r="C36" s="11"/>
      <c r="D36" s="11"/>
      <c r="E36" s="11"/>
      <c r="F36" s="11"/>
      <c r="G36" s="11"/>
      <c r="H36" s="12"/>
    </row>
    <row r="37" spans="1:8" ht="16.5" customHeight="1" x14ac:dyDescent="0.3">
      <c r="B37" s="9">
        <f t="array" aca="1" ref="B37:H37" ca="1">日+22+DATE(Calendar3Year,Calendar3MonthOption,1)-WEEKDAY(DATE(Calendar3Year,Calendar3MonthOption,1),WeekdayOption)</f>
        <v>43241</v>
      </c>
      <c r="C37" s="9">
        <f ca="1"/>
        <v>43242</v>
      </c>
      <c r="D37" s="9">
        <f ca="1"/>
        <v>43243</v>
      </c>
      <c r="E37" s="9">
        <f ca="1"/>
        <v>43244</v>
      </c>
      <c r="F37" s="9">
        <f ca="1"/>
        <v>43245</v>
      </c>
      <c r="G37" s="9">
        <f ca="1"/>
        <v>43246</v>
      </c>
      <c r="H37" s="10">
        <f ca="1"/>
        <v>43247</v>
      </c>
    </row>
    <row r="38" spans="1:8" ht="56.25" customHeight="1" x14ac:dyDescent="0.3">
      <c r="B38" s="11"/>
      <c r="C38" s="11"/>
      <c r="D38" s="11"/>
      <c r="E38" s="11"/>
      <c r="F38" s="11"/>
      <c r="G38" s="11"/>
      <c r="H38" s="12"/>
    </row>
    <row r="39" spans="1:8" ht="16.5" customHeight="1" x14ac:dyDescent="0.3">
      <c r="B39" s="9">
        <f t="array" aca="1" ref="B39:H39" ca="1">日+29+DATE(Calendar3Year,Calendar3MonthOption,1)-WEEKDAY(DATE(Calendar3Year,Calendar3MonthOption,1),WeekdayOption)</f>
        <v>43248</v>
      </c>
      <c r="C39" s="9">
        <f ca="1"/>
        <v>43249</v>
      </c>
      <c r="D39" s="9">
        <f ca="1"/>
        <v>43250</v>
      </c>
      <c r="E39" s="9">
        <f ca="1"/>
        <v>43251</v>
      </c>
      <c r="F39" s="9">
        <f ca="1"/>
        <v>43252</v>
      </c>
      <c r="G39" s="9">
        <f ca="1"/>
        <v>43253</v>
      </c>
      <c r="H39" s="10">
        <f ca="1"/>
        <v>43254</v>
      </c>
    </row>
    <row r="40" spans="1:8" ht="57" customHeight="1" x14ac:dyDescent="0.3">
      <c r="B40" s="11"/>
      <c r="C40" s="11"/>
      <c r="D40" s="11"/>
      <c r="E40" s="11"/>
      <c r="F40" s="11"/>
      <c r="G40" s="11"/>
      <c r="H40" s="15"/>
    </row>
    <row r="41" spans="1:8" ht="16.5" customHeight="1" x14ac:dyDescent="0.3">
      <c r="B41" s="9">
        <f t="array" aca="1" ref="B41:C41" ca="1">日+36+DATE(Calendar3Year,Calendar3MonthOption,1)-WEEKDAY(DATE(Calendar3Year,Calendar3MonthOption,1),WeekdayOption)</f>
        <v>43255</v>
      </c>
      <c r="C41" s="9">
        <f ca="1"/>
        <v>43256</v>
      </c>
      <c r="D41" s="20" t="s">
        <v>0</v>
      </c>
      <c r="E41" s="20"/>
      <c r="F41" s="20"/>
      <c r="G41" s="20"/>
      <c r="H41" s="20"/>
    </row>
    <row r="42" spans="1:8" ht="63.75" customHeight="1" x14ac:dyDescent="0.3">
      <c r="B42" s="11"/>
      <c r="C42" s="11"/>
      <c r="D42" s="19"/>
      <c r="E42" s="19"/>
      <c r="F42" s="19"/>
      <c r="G42" s="19"/>
      <c r="H42" s="19"/>
    </row>
    <row r="43" spans="1:8" ht="54" customHeight="1" x14ac:dyDescent="0.75">
      <c r="A43" s="1"/>
      <c r="B43" s="2">
        <f ca="1">YEAR(DATE(Calendar3Year,Calendar3MonthOption+1,1))</f>
        <v>2018</v>
      </c>
      <c r="C43" s="3" t="str">
        <f ca="1">TEXT(DATE(Calendar3Year,Calendar3MonthOption+1,1),"m月")</f>
        <v>6月</v>
      </c>
      <c r="D43" s="14"/>
      <c r="E43" s="14"/>
      <c r="F43" s="14"/>
      <c r="G43" s="14"/>
      <c r="H43" s="1"/>
    </row>
    <row r="44" spans="1:8" ht="14.25" customHeight="1" x14ac:dyDescent="0.35">
      <c r="A44" s="5"/>
      <c r="B44" s="6" t="str">
        <f t="shared" ref="B44:H44" ca="1" si="3">UPPER(TEXT(B45,"aaaa"))</f>
        <v>星期一</v>
      </c>
      <c r="C44" s="8" t="str">
        <f t="shared" ca="1" si="3"/>
        <v>星期二</v>
      </c>
      <c r="D44" s="6" t="str">
        <f t="shared" ca="1" si="3"/>
        <v>星期三</v>
      </c>
      <c r="E44" s="8" t="str">
        <f t="shared" ca="1" si="3"/>
        <v>星期四</v>
      </c>
      <c r="F44" s="6" t="str">
        <f t="shared" ca="1" si="3"/>
        <v>星期五</v>
      </c>
      <c r="G44" s="8" t="str">
        <f t="shared" ca="1" si="3"/>
        <v>星期六</v>
      </c>
      <c r="H44" s="6" t="str">
        <f t="shared" ca="1" si="3"/>
        <v>星期日</v>
      </c>
    </row>
    <row r="45" spans="1:8" ht="16.5" customHeight="1" x14ac:dyDescent="0.3">
      <c r="B45" s="9">
        <f t="array" aca="1" ref="B45:H45" ca="1">日+1+DATE(Calendar4Year,Calendar4MonthOption,1)-WEEKDAY(DATE(Calendar4Year,Calendar4MonthOption,1),WeekdayOption)</f>
        <v>43248</v>
      </c>
      <c r="C45" s="9">
        <f ca="1"/>
        <v>43249</v>
      </c>
      <c r="D45" s="9">
        <f ca="1"/>
        <v>43250</v>
      </c>
      <c r="E45" s="9">
        <f ca="1"/>
        <v>43251</v>
      </c>
      <c r="F45" s="9">
        <f ca="1"/>
        <v>43252</v>
      </c>
      <c r="G45" s="9">
        <f ca="1"/>
        <v>43253</v>
      </c>
      <c r="H45" s="10">
        <f ca="1"/>
        <v>43254</v>
      </c>
    </row>
    <row r="46" spans="1:8" ht="56.25" customHeight="1" x14ac:dyDescent="0.3">
      <c r="B46" s="11"/>
      <c r="C46" s="11"/>
      <c r="D46" s="11"/>
      <c r="E46" s="11"/>
      <c r="F46" s="11"/>
      <c r="G46" s="11"/>
      <c r="H46" s="12"/>
    </row>
    <row r="47" spans="1:8" ht="16.5" customHeight="1" x14ac:dyDescent="0.3">
      <c r="B47" s="9">
        <f t="array" aca="1" ref="B47:H47" ca="1">日+8+DATE(Calendar4Year,Calendar4MonthOption,1)-WEEKDAY(DATE(Calendar4Year,Calendar4MonthOption,1),WeekdayOption)</f>
        <v>43255</v>
      </c>
      <c r="C47" s="9">
        <f ca="1"/>
        <v>43256</v>
      </c>
      <c r="D47" s="9">
        <f ca="1"/>
        <v>43257</v>
      </c>
      <c r="E47" s="9">
        <f ca="1"/>
        <v>43258</v>
      </c>
      <c r="F47" s="9">
        <f ca="1"/>
        <v>43259</v>
      </c>
      <c r="G47" s="9">
        <f ca="1"/>
        <v>43260</v>
      </c>
      <c r="H47" s="10">
        <f ca="1"/>
        <v>43261</v>
      </c>
    </row>
    <row r="48" spans="1:8" ht="56.25" customHeight="1" x14ac:dyDescent="0.3">
      <c r="B48" s="11"/>
      <c r="C48" s="11"/>
      <c r="D48" s="11"/>
      <c r="E48" s="11"/>
      <c r="F48" s="11"/>
      <c r="G48" s="11"/>
      <c r="H48" s="12"/>
    </row>
    <row r="49" spans="1:8" ht="16.5" customHeight="1" x14ac:dyDescent="0.3">
      <c r="B49" s="9">
        <f t="array" aca="1" ref="B49:H49" ca="1">日+15+DATE(Calendar4Year,Calendar4MonthOption,1)-WEEKDAY(DATE(Calendar4Year,Calendar4MonthOption,1),WeekdayOption)</f>
        <v>43262</v>
      </c>
      <c r="C49" s="9">
        <f ca="1"/>
        <v>43263</v>
      </c>
      <c r="D49" s="9">
        <f ca="1"/>
        <v>43264</v>
      </c>
      <c r="E49" s="9">
        <f ca="1"/>
        <v>43265</v>
      </c>
      <c r="F49" s="9">
        <f ca="1"/>
        <v>43266</v>
      </c>
      <c r="G49" s="9">
        <f ca="1"/>
        <v>43267</v>
      </c>
      <c r="H49" s="10">
        <f ca="1"/>
        <v>43268</v>
      </c>
    </row>
    <row r="50" spans="1:8" ht="56.25" customHeight="1" x14ac:dyDescent="0.3">
      <c r="B50" s="11"/>
      <c r="C50" s="11"/>
      <c r="D50" s="11"/>
      <c r="E50" s="11"/>
      <c r="F50" s="11"/>
      <c r="G50" s="11"/>
      <c r="H50" s="12"/>
    </row>
    <row r="51" spans="1:8" ht="16.5" customHeight="1" x14ac:dyDescent="0.3">
      <c r="B51" s="9">
        <f t="array" aca="1" ref="B51:H51" ca="1">日+22+DATE(Calendar4Year,Calendar4MonthOption,1)-WEEKDAY(DATE(Calendar4Year,Calendar4MonthOption,1),WeekdayOption)</f>
        <v>43269</v>
      </c>
      <c r="C51" s="9">
        <f ca="1"/>
        <v>43270</v>
      </c>
      <c r="D51" s="9">
        <f ca="1"/>
        <v>43271</v>
      </c>
      <c r="E51" s="9">
        <f ca="1"/>
        <v>43272</v>
      </c>
      <c r="F51" s="9">
        <f ca="1"/>
        <v>43273</v>
      </c>
      <c r="G51" s="9">
        <f ca="1"/>
        <v>43274</v>
      </c>
      <c r="H51" s="10">
        <f ca="1"/>
        <v>43275</v>
      </c>
    </row>
    <row r="52" spans="1:8" ht="56.25" customHeight="1" x14ac:dyDescent="0.3">
      <c r="B52" s="11"/>
      <c r="C52" s="11"/>
      <c r="D52" s="11"/>
      <c r="E52" s="11"/>
      <c r="F52" s="11"/>
      <c r="G52" s="11"/>
      <c r="H52" s="12"/>
    </row>
    <row r="53" spans="1:8" ht="16.5" customHeight="1" x14ac:dyDescent="0.3">
      <c r="B53" s="9">
        <f t="array" aca="1" ref="B53:H53" ca="1">日+29+DATE(Calendar4Year,Calendar4MonthOption,1)-WEEKDAY(DATE(Calendar4Year,Calendar4MonthOption,1),WeekdayOption)</f>
        <v>43276</v>
      </c>
      <c r="C53" s="9">
        <f ca="1"/>
        <v>43277</v>
      </c>
      <c r="D53" s="9">
        <f ca="1"/>
        <v>43278</v>
      </c>
      <c r="E53" s="9">
        <f ca="1"/>
        <v>43279</v>
      </c>
      <c r="F53" s="9">
        <f ca="1"/>
        <v>43280</v>
      </c>
      <c r="G53" s="9">
        <f ca="1"/>
        <v>43281</v>
      </c>
      <c r="H53" s="10">
        <f ca="1"/>
        <v>43282</v>
      </c>
    </row>
    <row r="54" spans="1:8" ht="57" customHeight="1" x14ac:dyDescent="0.3">
      <c r="B54" s="11"/>
      <c r="C54" s="11"/>
      <c r="D54" s="11"/>
      <c r="E54" s="11"/>
      <c r="F54" s="11"/>
      <c r="G54" s="11"/>
      <c r="H54" s="15"/>
    </row>
    <row r="55" spans="1:8" ht="16.5" customHeight="1" x14ac:dyDescent="0.3">
      <c r="B55" s="9">
        <f t="array" aca="1" ref="B55:C55" ca="1">日+36+DATE(Calendar4Year,Calendar4MonthOption,1)-WEEKDAY(DATE(Calendar4Year,Calendar4MonthOption,1),WeekdayOption)</f>
        <v>43283</v>
      </c>
      <c r="C55" s="9">
        <f ca="1"/>
        <v>43284</v>
      </c>
      <c r="D55" s="17" t="s">
        <v>0</v>
      </c>
      <c r="E55" s="17"/>
      <c r="F55" s="17"/>
      <c r="G55" s="17"/>
      <c r="H55" s="17"/>
    </row>
    <row r="56" spans="1:8" ht="63.75" customHeight="1" x14ac:dyDescent="0.3">
      <c r="B56" s="11"/>
      <c r="C56" s="11"/>
      <c r="D56" s="19"/>
      <c r="E56" s="19"/>
      <c r="F56" s="19"/>
      <c r="G56" s="19"/>
      <c r="H56" s="19"/>
    </row>
    <row r="57" spans="1:8" ht="54" customHeight="1" x14ac:dyDescent="0.75">
      <c r="A57" s="1"/>
      <c r="B57" s="2">
        <f ca="1">YEAR(DATE(Calendar4Year,Calendar4MonthOption+1,1))</f>
        <v>2018</v>
      </c>
      <c r="C57" s="3" t="str">
        <f ca="1">TEXT(DATE(Calendar4Year,Calendar4MonthOption+1,1),"m月")</f>
        <v>7月</v>
      </c>
      <c r="D57" s="14"/>
      <c r="E57" s="14"/>
      <c r="F57" s="14"/>
      <c r="G57" s="14"/>
      <c r="H57" s="1"/>
    </row>
    <row r="58" spans="1:8" ht="14.25" customHeight="1" x14ac:dyDescent="0.35">
      <c r="A58" s="5"/>
      <c r="B58" s="6" t="str">
        <f t="shared" ref="B58:H58" ca="1" si="4">UPPER(TEXT(B59,"aaaa"))</f>
        <v>星期一</v>
      </c>
      <c r="C58" s="8" t="str">
        <f t="shared" ca="1" si="4"/>
        <v>星期二</v>
      </c>
      <c r="D58" s="6" t="str">
        <f t="shared" ca="1" si="4"/>
        <v>星期三</v>
      </c>
      <c r="E58" s="8" t="str">
        <f t="shared" ca="1" si="4"/>
        <v>星期四</v>
      </c>
      <c r="F58" s="6" t="str">
        <f t="shared" ca="1" si="4"/>
        <v>星期五</v>
      </c>
      <c r="G58" s="8" t="str">
        <f t="shared" ca="1" si="4"/>
        <v>星期六</v>
      </c>
      <c r="H58" s="6" t="str">
        <f t="shared" ca="1" si="4"/>
        <v>星期日</v>
      </c>
    </row>
    <row r="59" spans="1:8" ht="16.5" customHeight="1" x14ac:dyDescent="0.3">
      <c r="B59" s="9">
        <f t="array" aca="1" ref="B59:H59" ca="1">日+1+DATE(Calendar5Year,Calendar5MonthOption,1)-WEEKDAY(DATE(Calendar5Year,Calendar5MonthOption,1),WeekdayOption)</f>
        <v>43276</v>
      </c>
      <c r="C59" s="9">
        <f ca="1"/>
        <v>43277</v>
      </c>
      <c r="D59" s="9">
        <f ca="1"/>
        <v>43278</v>
      </c>
      <c r="E59" s="9">
        <f ca="1"/>
        <v>43279</v>
      </c>
      <c r="F59" s="9">
        <f ca="1"/>
        <v>43280</v>
      </c>
      <c r="G59" s="9">
        <f ca="1"/>
        <v>43281</v>
      </c>
      <c r="H59" s="10">
        <f ca="1"/>
        <v>43282</v>
      </c>
    </row>
    <row r="60" spans="1:8" ht="56.25" customHeight="1" x14ac:dyDescent="0.3">
      <c r="B60" s="11"/>
      <c r="C60" s="11"/>
      <c r="D60" s="11"/>
      <c r="E60" s="11"/>
      <c r="F60" s="11"/>
      <c r="G60" s="11"/>
      <c r="H60" s="12"/>
    </row>
    <row r="61" spans="1:8" ht="16.5" customHeight="1" x14ac:dyDescent="0.3">
      <c r="B61" s="9">
        <f t="array" aca="1" ref="B61:H61" ca="1">日+8+DATE(Calendar5Year,Calendar5MonthOption,1)-WEEKDAY(DATE(Calendar5Year,Calendar5MonthOption,1),WeekdayOption)</f>
        <v>43283</v>
      </c>
      <c r="C61" s="9">
        <f ca="1"/>
        <v>43284</v>
      </c>
      <c r="D61" s="9">
        <f ca="1"/>
        <v>43285</v>
      </c>
      <c r="E61" s="9">
        <f ca="1"/>
        <v>43286</v>
      </c>
      <c r="F61" s="9">
        <f ca="1"/>
        <v>43287</v>
      </c>
      <c r="G61" s="9">
        <f ca="1"/>
        <v>43288</v>
      </c>
      <c r="H61" s="10">
        <f ca="1"/>
        <v>43289</v>
      </c>
    </row>
    <row r="62" spans="1:8" ht="56.25" customHeight="1" x14ac:dyDescent="0.3">
      <c r="B62" s="11"/>
      <c r="C62" s="11"/>
      <c r="D62" s="11"/>
      <c r="E62" s="11"/>
      <c r="F62" s="11"/>
      <c r="G62" s="11"/>
      <c r="H62" s="12"/>
    </row>
    <row r="63" spans="1:8" ht="16.5" customHeight="1" x14ac:dyDescent="0.3">
      <c r="B63" s="9">
        <f t="array" aca="1" ref="B63:H63" ca="1">日+15+DATE(Calendar5Year,Calendar5MonthOption,1)-WEEKDAY(DATE(Calendar5Year,Calendar5MonthOption,1),WeekdayOption)</f>
        <v>43290</v>
      </c>
      <c r="C63" s="9">
        <f ca="1"/>
        <v>43291</v>
      </c>
      <c r="D63" s="9">
        <f ca="1"/>
        <v>43292</v>
      </c>
      <c r="E63" s="9">
        <f ca="1"/>
        <v>43293</v>
      </c>
      <c r="F63" s="9">
        <f ca="1"/>
        <v>43294</v>
      </c>
      <c r="G63" s="9">
        <f ca="1"/>
        <v>43295</v>
      </c>
      <c r="H63" s="10">
        <f ca="1"/>
        <v>43296</v>
      </c>
    </row>
    <row r="64" spans="1:8" ht="56.25" customHeight="1" x14ac:dyDescent="0.3">
      <c r="B64" s="11"/>
      <c r="C64" s="11"/>
      <c r="D64" s="11"/>
      <c r="E64" s="11"/>
      <c r="F64" s="11"/>
      <c r="G64" s="11"/>
      <c r="H64" s="12"/>
    </row>
    <row r="65" spans="1:8" ht="16.5" customHeight="1" x14ac:dyDescent="0.3">
      <c r="B65" s="9">
        <f t="array" aca="1" ref="B65:H65" ca="1">日+22+DATE(Calendar5Year,Calendar5MonthOption,1)-WEEKDAY(DATE(Calendar5Year,Calendar5MonthOption,1),WeekdayOption)</f>
        <v>43297</v>
      </c>
      <c r="C65" s="9">
        <f ca="1"/>
        <v>43298</v>
      </c>
      <c r="D65" s="9">
        <f ca="1"/>
        <v>43299</v>
      </c>
      <c r="E65" s="9">
        <f ca="1"/>
        <v>43300</v>
      </c>
      <c r="F65" s="9">
        <f ca="1"/>
        <v>43301</v>
      </c>
      <c r="G65" s="9">
        <f ca="1"/>
        <v>43302</v>
      </c>
      <c r="H65" s="10">
        <f ca="1"/>
        <v>43303</v>
      </c>
    </row>
    <row r="66" spans="1:8" ht="56.25" customHeight="1" x14ac:dyDescent="0.3">
      <c r="B66" s="11"/>
      <c r="C66" s="11"/>
      <c r="D66" s="11"/>
      <c r="E66" s="11"/>
      <c r="F66" s="11"/>
      <c r="G66" s="11"/>
      <c r="H66" s="12"/>
    </row>
    <row r="67" spans="1:8" ht="16.5" customHeight="1" x14ac:dyDescent="0.3">
      <c r="B67" s="9">
        <f t="array" aca="1" ref="B67:H67" ca="1">日+29+DATE(Calendar5Year,Calendar5MonthOption,1)-WEEKDAY(DATE(Calendar5Year,Calendar5MonthOption,1),WeekdayOption)</f>
        <v>43304</v>
      </c>
      <c r="C67" s="9">
        <f ca="1"/>
        <v>43305</v>
      </c>
      <c r="D67" s="9">
        <f ca="1"/>
        <v>43306</v>
      </c>
      <c r="E67" s="9">
        <f ca="1"/>
        <v>43307</v>
      </c>
      <c r="F67" s="9">
        <f ca="1"/>
        <v>43308</v>
      </c>
      <c r="G67" s="9">
        <f ca="1"/>
        <v>43309</v>
      </c>
      <c r="H67" s="10">
        <f ca="1"/>
        <v>43310</v>
      </c>
    </row>
    <row r="68" spans="1:8" ht="57" customHeight="1" x14ac:dyDescent="0.3">
      <c r="B68" s="11"/>
      <c r="C68" s="11"/>
      <c r="D68" s="11"/>
      <c r="E68" s="11"/>
      <c r="F68" s="11"/>
      <c r="G68" s="11"/>
      <c r="H68" s="15"/>
    </row>
    <row r="69" spans="1:8" ht="16.5" customHeight="1" x14ac:dyDescent="0.3">
      <c r="B69" s="9">
        <f t="array" aca="1" ref="B69:C69" ca="1">日+36+DATE(Calendar5Year,Calendar5MonthOption,1)-WEEKDAY(DATE(Calendar5Year,Calendar5MonthOption,1),WeekdayOption)</f>
        <v>43311</v>
      </c>
      <c r="C69" s="9">
        <f ca="1"/>
        <v>43312</v>
      </c>
      <c r="D69" s="17" t="s">
        <v>0</v>
      </c>
      <c r="E69" s="17"/>
      <c r="F69" s="17"/>
      <c r="G69" s="17"/>
      <c r="H69" s="17"/>
    </row>
    <row r="70" spans="1:8" ht="63.75" customHeight="1" x14ac:dyDescent="0.3">
      <c r="B70" s="11"/>
      <c r="C70" s="11"/>
      <c r="D70" s="19"/>
      <c r="E70" s="19"/>
      <c r="F70" s="19"/>
      <c r="G70" s="19"/>
      <c r="H70" s="19"/>
    </row>
    <row r="71" spans="1:8" ht="54" customHeight="1" x14ac:dyDescent="0.75">
      <c r="A71" s="1"/>
      <c r="B71" s="2">
        <f ca="1">YEAR(DATE(Calendar5Year,Calendar5MonthOption+1,1))</f>
        <v>2018</v>
      </c>
      <c r="C71" s="3" t="str">
        <f ca="1">TEXT(DATE(Calendar5Year,Calendar5MonthOption+1,1),"m月")</f>
        <v>8月</v>
      </c>
      <c r="D71" s="14"/>
      <c r="E71" s="14"/>
      <c r="F71" s="14"/>
      <c r="G71" s="14"/>
      <c r="H71" s="1"/>
    </row>
    <row r="72" spans="1:8" ht="14.25" customHeight="1" x14ac:dyDescent="0.35">
      <c r="A72" s="5"/>
      <c r="B72" s="6" t="str">
        <f t="shared" ref="B72:H72" ca="1" si="5">UPPER(TEXT(B73,"aaaa"))</f>
        <v>星期一</v>
      </c>
      <c r="C72" s="8" t="str">
        <f t="shared" ca="1" si="5"/>
        <v>星期二</v>
      </c>
      <c r="D72" s="6" t="str">
        <f t="shared" ca="1" si="5"/>
        <v>星期三</v>
      </c>
      <c r="E72" s="8" t="str">
        <f t="shared" ca="1" si="5"/>
        <v>星期四</v>
      </c>
      <c r="F72" s="6" t="str">
        <f t="shared" ca="1" si="5"/>
        <v>星期五</v>
      </c>
      <c r="G72" s="8" t="str">
        <f t="shared" ca="1" si="5"/>
        <v>星期六</v>
      </c>
      <c r="H72" s="6" t="str">
        <f t="shared" ca="1" si="5"/>
        <v>星期日</v>
      </c>
    </row>
    <row r="73" spans="1:8" ht="16.5" customHeight="1" x14ac:dyDescent="0.3">
      <c r="B73" s="9">
        <f t="array" aca="1" ref="B73:H73" ca="1">日+1+DATE(Calendar6Year,Calendar6MonthOption,1)-WEEKDAY(DATE(Calendar6Year,Calendar6MonthOption,1),WeekdayOption)</f>
        <v>43311</v>
      </c>
      <c r="C73" s="9">
        <f ca="1"/>
        <v>43312</v>
      </c>
      <c r="D73" s="9">
        <f ca="1"/>
        <v>43313</v>
      </c>
      <c r="E73" s="9">
        <f ca="1"/>
        <v>43314</v>
      </c>
      <c r="F73" s="9">
        <f ca="1"/>
        <v>43315</v>
      </c>
      <c r="G73" s="9">
        <f ca="1"/>
        <v>43316</v>
      </c>
      <c r="H73" s="10">
        <f ca="1"/>
        <v>43317</v>
      </c>
    </row>
    <row r="74" spans="1:8" ht="56.25" customHeight="1" x14ac:dyDescent="0.3">
      <c r="B74" s="11"/>
      <c r="C74" s="11"/>
      <c r="D74" s="11"/>
      <c r="E74" s="11"/>
      <c r="F74" s="11"/>
      <c r="G74" s="11"/>
      <c r="H74" s="12"/>
    </row>
    <row r="75" spans="1:8" ht="16.5" customHeight="1" x14ac:dyDescent="0.3">
      <c r="B75" s="9">
        <f t="array" aca="1" ref="B75:H75" ca="1">日+8+DATE(Calendar6Year,Calendar6MonthOption,1)-WEEKDAY(DATE(Calendar6Year,Calendar6MonthOption,1),WeekdayOption)</f>
        <v>43318</v>
      </c>
      <c r="C75" s="9">
        <f ca="1"/>
        <v>43319</v>
      </c>
      <c r="D75" s="9">
        <f ca="1"/>
        <v>43320</v>
      </c>
      <c r="E75" s="9">
        <f ca="1"/>
        <v>43321</v>
      </c>
      <c r="F75" s="9">
        <f ca="1"/>
        <v>43322</v>
      </c>
      <c r="G75" s="9">
        <f ca="1"/>
        <v>43323</v>
      </c>
      <c r="H75" s="10">
        <f ca="1"/>
        <v>43324</v>
      </c>
    </row>
    <row r="76" spans="1:8" ht="56.25" customHeight="1" x14ac:dyDescent="0.3">
      <c r="B76" s="11"/>
      <c r="C76" s="11"/>
      <c r="D76" s="11"/>
      <c r="E76" s="11"/>
      <c r="F76" s="11"/>
      <c r="G76" s="11"/>
      <c r="H76" s="12"/>
    </row>
    <row r="77" spans="1:8" ht="16.5" customHeight="1" x14ac:dyDescent="0.3">
      <c r="B77" s="9">
        <f t="array" aca="1" ref="B77:H77" ca="1">日+15+DATE(Calendar6Year,Calendar6MonthOption,1)-WEEKDAY(DATE(Calendar6Year,Calendar6MonthOption,1),WeekdayOption)</f>
        <v>43325</v>
      </c>
      <c r="C77" s="9">
        <f ca="1"/>
        <v>43326</v>
      </c>
      <c r="D77" s="9">
        <f ca="1"/>
        <v>43327</v>
      </c>
      <c r="E77" s="9">
        <f ca="1"/>
        <v>43328</v>
      </c>
      <c r="F77" s="9">
        <f ca="1"/>
        <v>43329</v>
      </c>
      <c r="G77" s="9">
        <f ca="1"/>
        <v>43330</v>
      </c>
      <c r="H77" s="10">
        <f ca="1"/>
        <v>43331</v>
      </c>
    </row>
    <row r="78" spans="1:8" ht="56.25" customHeight="1" x14ac:dyDescent="0.3">
      <c r="B78" s="11"/>
      <c r="C78" s="11"/>
      <c r="D78" s="11"/>
      <c r="E78" s="11"/>
      <c r="F78" s="11"/>
      <c r="G78" s="11"/>
      <c r="H78" s="12"/>
    </row>
    <row r="79" spans="1:8" ht="16.5" customHeight="1" x14ac:dyDescent="0.3">
      <c r="B79" s="9">
        <f t="array" aca="1" ref="B79:H79" ca="1">日+22+DATE(Calendar6Year,Calendar6MonthOption,1)-WEEKDAY(DATE(Calendar6Year,Calendar6MonthOption,1),WeekdayOption)</f>
        <v>43332</v>
      </c>
      <c r="C79" s="9">
        <f ca="1"/>
        <v>43333</v>
      </c>
      <c r="D79" s="9">
        <f ca="1"/>
        <v>43334</v>
      </c>
      <c r="E79" s="9">
        <f ca="1"/>
        <v>43335</v>
      </c>
      <c r="F79" s="9">
        <f ca="1"/>
        <v>43336</v>
      </c>
      <c r="G79" s="9">
        <f ca="1"/>
        <v>43337</v>
      </c>
      <c r="H79" s="10">
        <f ca="1"/>
        <v>43338</v>
      </c>
    </row>
    <row r="80" spans="1:8" ht="56.25" customHeight="1" x14ac:dyDescent="0.3">
      <c r="B80" s="11"/>
      <c r="C80" s="11"/>
      <c r="D80" s="11"/>
      <c r="E80" s="11"/>
      <c r="F80" s="11"/>
      <c r="G80" s="11"/>
      <c r="H80" s="12"/>
    </row>
    <row r="81" spans="1:8" ht="16.5" customHeight="1" x14ac:dyDescent="0.3">
      <c r="B81" s="9">
        <f t="array" aca="1" ref="B81:H81" ca="1">日+29+DATE(Calendar6Year,Calendar6MonthOption,1)-WEEKDAY(DATE(Calendar6Year,Calendar6MonthOption,1),WeekdayOption)</f>
        <v>43339</v>
      </c>
      <c r="C81" s="9">
        <f ca="1"/>
        <v>43340</v>
      </c>
      <c r="D81" s="9">
        <f ca="1"/>
        <v>43341</v>
      </c>
      <c r="E81" s="9">
        <f ca="1"/>
        <v>43342</v>
      </c>
      <c r="F81" s="9">
        <f ca="1"/>
        <v>43343</v>
      </c>
      <c r="G81" s="9">
        <f ca="1"/>
        <v>43344</v>
      </c>
      <c r="H81" s="10">
        <f ca="1"/>
        <v>43345</v>
      </c>
    </row>
    <row r="82" spans="1:8" ht="57" customHeight="1" x14ac:dyDescent="0.3">
      <c r="B82" s="11"/>
      <c r="C82" s="11"/>
      <c r="D82" s="11"/>
      <c r="E82" s="11"/>
      <c r="F82" s="11"/>
      <c r="G82" s="11"/>
      <c r="H82" s="15"/>
    </row>
    <row r="83" spans="1:8" ht="16.5" customHeight="1" x14ac:dyDescent="0.3">
      <c r="B83" s="9">
        <f t="array" aca="1" ref="B83:C83" ca="1">日+36+DATE(Calendar6Year,Calendar6MonthOption,1)-WEEKDAY(DATE(Calendar6Year,Calendar6MonthOption,1),WeekdayOption)</f>
        <v>43346</v>
      </c>
      <c r="C83" s="9">
        <f ca="1"/>
        <v>43347</v>
      </c>
      <c r="D83" s="17" t="s">
        <v>0</v>
      </c>
      <c r="E83" s="17"/>
      <c r="F83" s="17"/>
      <c r="G83" s="17"/>
      <c r="H83" s="17"/>
    </row>
    <row r="84" spans="1:8" ht="63.75" customHeight="1" x14ac:dyDescent="0.3">
      <c r="B84" s="11"/>
      <c r="C84" s="11"/>
      <c r="D84" s="19"/>
      <c r="E84" s="19"/>
      <c r="F84" s="19"/>
      <c r="G84" s="19"/>
      <c r="H84" s="19"/>
    </row>
    <row r="85" spans="1:8" ht="54" customHeight="1" x14ac:dyDescent="0.75">
      <c r="A85" s="1"/>
      <c r="B85" s="2">
        <f ca="1">YEAR(DATE(Calendar6Year,Calendar6MonthOption+1,1))</f>
        <v>2018</v>
      </c>
      <c r="C85" s="3" t="str">
        <f ca="1">TEXT(DATE(Calendar6Year,Calendar6MonthOption+1,1),"m月")</f>
        <v>9月</v>
      </c>
      <c r="D85" s="14"/>
      <c r="E85" s="14"/>
      <c r="F85" s="14"/>
      <c r="G85" s="14"/>
      <c r="H85" s="1"/>
    </row>
    <row r="86" spans="1:8" ht="14.25" customHeight="1" x14ac:dyDescent="0.35">
      <c r="A86" s="5"/>
      <c r="B86" s="6" t="str">
        <f t="shared" ref="B86:H86" ca="1" si="6">UPPER(TEXT(B87,"aaaa"))</f>
        <v>星期一</v>
      </c>
      <c r="C86" s="8" t="str">
        <f t="shared" ca="1" si="6"/>
        <v>星期二</v>
      </c>
      <c r="D86" s="6" t="str">
        <f t="shared" ca="1" si="6"/>
        <v>星期三</v>
      </c>
      <c r="E86" s="8" t="str">
        <f t="shared" ca="1" si="6"/>
        <v>星期四</v>
      </c>
      <c r="F86" s="6" t="str">
        <f t="shared" ca="1" si="6"/>
        <v>星期五</v>
      </c>
      <c r="G86" s="8" t="str">
        <f t="shared" ca="1" si="6"/>
        <v>星期六</v>
      </c>
      <c r="H86" s="6" t="str">
        <f t="shared" ca="1" si="6"/>
        <v>星期日</v>
      </c>
    </row>
    <row r="87" spans="1:8" ht="16.5" customHeight="1" x14ac:dyDescent="0.3">
      <c r="B87" s="9">
        <f t="array" aca="1" ref="B87:H87" ca="1">日+1+DATE(Calendar7Year,Calendar7MonthOption,1)-WEEKDAY(DATE(Calendar7Year,Calendar7MonthOption,1),WeekdayOption)</f>
        <v>43339</v>
      </c>
      <c r="C87" s="9">
        <f ca="1"/>
        <v>43340</v>
      </c>
      <c r="D87" s="9">
        <f ca="1"/>
        <v>43341</v>
      </c>
      <c r="E87" s="9">
        <f ca="1"/>
        <v>43342</v>
      </c>
      <c r="F87" s="9">
        <f ca="1"/>
        <v>43343</v>
      </c>
      <c r="G87" s="9">
        <f ca="1"/>
        <v>43344</v>
      </c>
      <c r="H87" s="10">
        <f ca="1"/>
        <v>43345</v>
      </c>
    </row>
    <row r="88" spans="1:8" ht="56.25" customHeight="1" x14ac:dyDescent="0.3">
      <c r="B88" s="11"/>
      <c r="C88" s="11"/>
      <c r="D88" s="11"/>
      <c r="E88" s="11"/>
      <c r="F88" s="11"/>
      <c r="G88" s="11"/>
      <c r="H88" s="12"/>
    </row>
    <row r="89" spans="1:8" ht="16.5" customHeight="1" x14ac:dyDescent="0.3">
      <c r="B89" s="9">
        <f t="array" aca="1" ref="B89:H89" ca="1">日+8+DATE(Calendar7Year,Calendar7MonthOption,1)-WEEKDAY(DATE(Calendar7Year,Calendar7MonthOption,1),WeekdayOption)</f>
        <v>43346</v>
      </c>
      <c r="C89" s="9">
        <f ca="1"/>
        <v>43347</v>
      </c>
      <c r="D89" s="9">
        <f ca="1"/>
        <v>43348</v>
      </c>
      <c r="E89" s="9">
        <f ca="1"/>
        <v>43349</v>
      </c>
      <c r="F89" s="9">
        <f ca="1"/>
        <v>43350</v>
      </c>
      <c r="G89" s="9">
        <f ca="1"/>
        <v>43351</v>
      </c>
      <c r="H89" s="10">
        <f ca="1"/>
        <v>43352</v>
      </c>
    </row>
    <row r="90" spans="1:8" ht="56.25" customHeight="1" x14ac:dyDescent="0.3">
      <c r="B90" s="11"/>
      <c r="C90" s="11"/>
      <c r="D90" s="11"/>
      <c r="E90" s="11"/>
      <c r="F90" s="11"/>
      <c r="G90" s="11"/>
      <c r="H90" s="12"/>
    </row>
    <row r="91" spans="1:8" ht="16.5" customHeight="1" x14ac:dyDescent="0.3">
      <c r="B91" s="9">
        <f t="array" aca="1" ref="B91:H91" ca="1">日+15+DATE(Calendar7Year,Calendar7MonthOption,1)-WEEKDAY(DATE(Calendar7Year,Calendar7MonthOption,1),WeekdayOption)</f>
        <v>43353</v>
      </c>
      <c r="C91" s="9">
        <f ca="1"/>
        <v>43354</v>
      </c>
      <c r="D91" s="9">
        <f ca="1"/>
        <v>43355</v>
      </c>
      <c r="E91" s="9">
        <f ca="1"/>
        <v>43356</v>
      </c>
      <c r="F91" s="9">
        <f ca="1"/>
        <v>43357</v>
      </c>
      <c r="G91" s="9">
        <f ca="1"/>
        <v>43358</v>
      </c>
      <c r="H91" s="10">
        <f ca="1"/>
        <v>43359</v>
      </c>
    </row>
    <row r="92" spans="1:8" ht="56.25" customHeight="1" x14ac:dyDescent="0.3">
      <c r="B92" s="11"/>
      <c r="C92" s="11"/>
      <c r="D92" s="11"/>
      <c r="E92" s="11"/>
      <c r="F92" s="11"/>
      <c r="G92" s="11"/>
      <c r="H92" s="12"/>
    </row>
    <row r="93" spans="1:8" ht="16.5" customHeight="1" x14ac:dyDescent="0.3">
      <c r="B93" s="9">
        <f t="array" aca="1" ref="B93:H93" ca="1">日+22+DATE(Calendar7Year,Calendar7MonthOption,1)-WEEKDAY(DATE(Calendar7Year,Calendar7MonthOption,1),WeekdayOption)</f>
        <v>43360</v>
      </c>
      <c r="C93" s="9">
        <f ca="1"/>
        <v>43361</v>
      </c>
      <c r="D93" s="9">
        <f ca="1"/>
        <v>43362</v>
      </c>
      <c r="E93" s="9">
        <f ca="1"/>
        <v>43363</v>
      </c>
      <c r="F93" s="9">
        <f ca="1"/>
        <v>43364</v>
      </c>
      <c r="G93" s="9">
        <f ca="1"/>
        <v>43365</v>
      </c>
      <c r="H93" s="10">
        <f ca="1"/>
        <v>43366</v>
      </c>
    </row>
    <row r="94" spans="1:8" ht="56.25" customHeight="1" x14ac:dyDescent="0.3">
      <c r="B94" s="11"/>
      <c r="C94" s="11"/>
      <c r="D94" s="11"/>
      <c r="E94" s="11"/>
      <c r="F94" s="11"/>
      <c r="G94" s="11"/>
      <c r="H94" s="12"/>
    </row>
    <row r="95" spans="1:8" ht="16.5" customHeight="1" x14ac:dyDescent="0.3">
      <c r="B95" s="9">
        <f t="array" aca="1" ref="B95:H95" ca="1">日+29+DATE(Calendar7Year,Calendar7MonthOption,1)-WEEKDAY(DATE(Calendar7Year,Calendar7MonthOption,1),WeekdayOption)</f>
        <v>43367</v>
      </c>
      <c r="C95" s="9">
        <f ca="1"/>
        <v>43368</v>
      </c>
      <c r="D95" s="9">
        <f ca="1"/>
        <v>43369</v>
      </c>
      <c r="E95" s="9">
        <f ca="1"/>
        <v>43370</v>
      </c>
      <c r="F95" s="9">
        <f ca="1"/>
        <v>43371</v>
      </c>
      <c r="G95" s="9">
        <f ca="1"/>
        <v>43372</v>
      </c>
      <c r="H95" s="10">
        <f ca="1"/>
        <v>43373</v>
      </c>
    </row>
    <row r="96" spans="1:8" ht="57" customHeight="1" x14ac:dyDescent="0.3">
      <c r="B96" s="11"/>
      <c r="C96" s="11"/>
      <c r="D96" s="11"/>
      <c r="E96" s="11"/>
      <c r="F96" s="11"/>
      <c r="G96" s="11"/>
      <c r="H96" s="15"/>
    </row>
    <row r="97" spans="1:8" ht="16.5" customHeight="1" x14ac:dyDescent="0.3">
      <c r="B97" s="9">
        <f t="array" aca="1" ref="B97:C97" ca="1">日+36+DATE(Calendar7Year,Calendar7MonthOption,1)-WEEKDAY(DATE(Calendar7Year,Calendar7MonthOption,1),WeekdayOption)</f>
        <v>43374</v>
      </c>
      <c r="C97" s="9">
        <f ca="1"/>
        <v>43375</v>
      </c>
      <c r="D97" s="17" t="s">
        <v>0</v>
      </c>
      <c r="E97" s="17"/>
      <c r="F97" s="17"/>
      <c r="G97" s="17"/>
      <c r="H97" s="17"/>
    </row>
    <row r="98" spans="1:8" ht="63.75" customHeight="1" x14ac:dyDescent="0.3">
      <c r="B98" s="11"/>
      <c r="C98" s="11"/>
      <c r="D98" s="19"/>
      <c r="E98" s="19"/>
      <c r="F98" s="19"/>
      <c r="G98" s="19"/>
      <c r="H98" s="19"/>
    </row>
    <row r="99" spans="1:8" ht="54" customHeight="1" x14ac:dyDescent="0.75">
      <c r="A99" s="1"/>
      <c r="B99" s="2">
        <f ca="1">YEAR(DATE(Calendar7Year,Calendar7MonthOption+1,1))</f>
        <v>2018</v>
      </c>
      <c r="C99" s="3" t="str">
        <f ca="1">TEXT(DATE(Calendar7Year,Calendar7MonthOption+1,1),"m月")</f>
        <v>10月</v>
      </c>
      <c r="D99" s="14"/>
      <c r="E99" s="14"/>
      <c r="F99" s="14"/>
      <c r="G99" s="14"/>
      <c r="H99" s="1"/>
    </row>
    <row r="100" spans="1:8" ht="14.25" customHeight="1" x14ac:dyDescent="0.35">
      <c r="A100" s="5"/>
      <c r="B100" s="6" t="str">
        <f t="shared" ref="B100:H100" ca="1" si="7">UPPER(TEXT(B101,"aaaa"))</f>
        <v>星期一</v>
      </c>
      <c r="C100" s="8" t="str">
        <f t="shared" ca="1" si="7"/>
        <v>星期二</v>
      </c>
      <c r="D100" s="6" t="str">
        <f t="shared" ca="1" si="7"/>
        <v>星期三</v>
      </c>
      <c r="E100" s="8" t="str">
        <f t="shared" ca="1" si="7"/>
        <v>星期四</v>
      </c>
      <c r="F100" s="6" t="str">
        <f t="shared" ca="1" si="7"/>
        <v>星期五</v>
      </c>
      <c r="G100" s="8" t="str">
        <f t="shared" ca="1" si="7"/>
        <v>星期六</v>
      </c>
      <c r="H100" s="6" t="str">
        <f t="shared" ca="1" si="7"/>
        <v>星期日</v>
      </c>
    </row>
    <row r="101" spans="1:8" ht="16.5" customHeight="1" x14ac:dyDescent="0.3">
      <c r="B101" s="9">
        <f t="array" aca="1" ref="B101:H101" ca="1">日+1+DATE(Calendar8Year,Calendar8MonthOption,1)-WEEKDAY(DATE(Calendar8Year,Calendar8MonthOption,1),WeekdayOption)</f>
        <v>43374</v>
      </c>
      <c r="C101" s="9">
        <f ca="1"/>
        <v>43375</v>
      </c>
      <c r="D101" s="9">
        <f ca="1"/>
        <v>43376</v>
      </c>
      <c r="E101" s="9">
        <f ca="1"/>
        <v>43377</v>
      </c>
      <c r="F101" s="9">
        <f ca="1"/>
        <v>43378</v>
      </c>
      <c r="G101" s="9">
        <f ca="1"/>
        <v>43379</v>
      </c>
      <c r="H101" s="10">
        <f ca="1"/>
        <v>43380</v>
      </c>
    </row>
    <row r="102" spans="1:8" ht="56.25" customHeight="1" x14ac:dyDescent="0.3">
      <c r="B102" s="11"/>
      <c r="C102" s="11"/>
      <c r="D102" s="11"/>
      <c r="E102" s="11"/>
      <c r="F102" s="11"/>
      <c r="G102" s="11"/>
      <c r="H102" s="12"/>
    </row>
    <row r="103" spans="1:8" ht="16.5" customHeight="1" x14ac:dyDescent="0.3">
      <c r="B103" s="9">
        <f t="array" aca="1" ref="B103:H103" ca="1">日+8+DATE(Calendar8Year,Calendar8MonthOption,1)-WEEKDAY(DATE(Calendar8Year,Calendar8MonthOption,1),WeekdayOption)</f>
        <v>43381</v>
      </c>
      <c r="C103" s="9">
        <f ca="1"/>
        <v>43382</v>
      </c>
      <c r="D103" s="9">
        <f ca="1"/>
        <v>43383</v>
      </c>
      <c r="E103" s="9">
        <f ca="1"/>
        <v>43384</v>
      </c>
      <c r="F103" s="9">
        <f ca="1"/>
        <v>43385</v>
      </c>
      <c r="G103" s="9">
        <f ca="1"/>
        <v>43386</v>
      </c>
      <c r="H103" s="10">
        <f ca="1"/>
        <v>43387</v>
      </c>
    </row>
    <row r="104" spans="1:8" ht="56.25" customHeight="1" x14ac:dyDescent="0.3">
      <c r="B104" s="11"/>
      <c r="C104" s="11"/>
      <c r="D104" s="11"/>
      <c r="E104" s="11"/>
      <c r="F104" s="11"/>
      <c r="G104" s="11"/>
      <c r="H104" s="12"/>
    </row>
    <row r="105" spans="1:8" ht="16.5" customHeight="1" x14ac:dyDescent="0.3">
      <c r="B105" s="9">
        <f t="array" aca="1" ref="B105:H105" ca="1">日+15+DATE(Calendar8Year,Calendar8MonthOption,1)-WEEKDAY(DATE(Calendar8Year,Calendar8MonthOption,1),WeekdayOption)</f>
        <v>43388</v>
      </c>
      <c r="C105" s="9">
        <f ca="1"/>
        <v>43389</v>
      </c>
      <c r="D105" s="9">
        <f ca="1"/>
        <v>43390</v>
      </c>
      <c r="E105" s="9">
        <f ca="1"/>
        <v>43391</v>
      </c>
      <c r="F105" s="9">
        <f ca="1"/>
        <v>43392</v>
      </c>
      <c r="G105" s="9">
        <f ca="1"/>
        <v>43393</v>
      </c>
      <c r="H105" s="10">
        <f ca="1"/>
        <v>43394</v>
      </c>
    </row>
    <row r="106" spans="1:8" ht="56.25" customHeight="1" x14ac:dyDescent="0.3">
      <c r="B106" s="11"/>
      <c r="C106" s="11"/>
      <c r="D106" s="11"/>
      <c r="E106" s="11"/>
      <c r="F106" s="11"/>
      <c r="G106" s="11"/>
      <c r="H106" s="12"/>
    </row>
    <row r="107" spans="1:8" ht="16.5" customHeight="1" x14ac:dyDescent="0.3">
      <c r="B107" s="9">
        <f t="array" aca="1" ref="B107:H107" ca="1">日+22+DATE(Calendar8Year,Calendar8MonthOption,1)-WEEKDAY(DATE(Calendar8Year,Calendar8MonthOption,1),WeekdayOption)</f>
        <v>43395</v>
      </c>
      <c r="C107" s="9">
        <f ca="1"/>
        <v>43396</v>
      </c>
      <c r="D107" s="9">
        <f ca="1"/>
        <v>43397</v>
      </c>
      <c r="E107" s="9">
        <f ca="1"/>
        <v>43398</v>
      </c>
      <c r="F107" s="9">
        <f ca="1"/>
        <v>43399</v>
      </c>
      <c r="G107" s="9">
        <f ca="1"/>
        <v>43400</v>
      </c>
      <c r="H107" s="10">
        <f ca="1"/>
        <v>43401</v>
      </c>
    </row>
    <row r="108" spans="1:8" ht="56.25" customHeight="1" x14ac:dyDescent="0.3">
      <c r="B108" s="11"/>
      <c r="C108" s="11"/>
      <c r="D108" s="11"/>
      <c r="E108" s="11"/>
      <c r="F108" s="11"/>
      <c r="G108" s="11"/>
      <c r="H108" s="12"/>
    </row>
    <row r="109" spans="1:8" ht="16.5" customHeight="1" x14ac:dyDescent="0.3">
      <c r="B109" s="9">
        <f t="array" aca="1" ref="B109:H109" ca="1">日+29+DATE(Calendar8Year,Calendar8MonthOption,1)-WEEKDAY(DATE(Calendar8Year,Calendar8MonthOption,1),WeekdayOption)</f>
        <v>43402</v>
      </c>
      <c r="C109" s="9">
        <f ca="1"/>
        <v>43403</v>
      </c>
      <c r="D109" s="9">
        <f ca="1"/>
        <v>43404</v>
      </c>
      <c r="E109" s="9">
        <f ca="1"/>
        <v>43405</v>
      </c>
      <c r="F109" s="9">
        <f ca="1"/>
        <v>43406</v>
      </c>
      <c r="G109" s="9">
        <f ca="1"/>
        <v>43407</v>
      </c>
      <c r="H109" s="10">
        <f ca="1"/>
        <v>43408</v>
      </c>
    </row>
    <row r="110" spans="1:8" ht="57" customHeight="1" x14ac:dyDescent="0.3">
      <c r="B110" s="11"/>
      <c r="C110" s="11"/>
      <c r="D110" s="11"/>
      <c r="E110" s="11"/>
      <c r="F110" s="11"/>
      <c r="G110" s="11"/>
      <c r="H110" s="15"/>
    </row>
    <row r="111" spans="1:8" ht="16.5" customHeight="1" x14ac:dyDescent="0.3">
      <c r="B111" s="9">
        <f t="array" aca="1" ref="B111:C111" ca="1">日+36+DATE(Calendar8Year,Calendar8MonthOption,1)-WEEKDAY(DATE(Calendar8Year,Calendar8MonthOption,1),WeekdayOption)</f>
        <v>43409</v>
      </c>
      <c r="C111" s="9">
        <f ca="1"/>
        <v>43410</v>
      </c>
      <c r="D111" s="17" t="s">
        <v>0</v>
      </c>
      <c r="E111" s="17"/>
      <c r="F111" s="17"/>
      <c r="G111" s="17"/>
      <c r="H111" s="17"/>
    </row>
    <row r="112" spans="1:8" ht="63.75" customHeight="1" x14ac:dyDescent="0.3">
      <c r="B112" s="11"/>
      <c r="C112" s="11"/>
      <c r="D112" s="19"/>
      <c r="E112" s="19"/>
      <c r="F112" s="19"/>
      <c r="G112" s="19"/>
      <c r="H112" s="19"/>
    </row>
    <row r="113" spans="1:8" ht="54" customHeight="1" x14ac:dyDescent="0.75">
      <c r="A113" s="1"/>
      <c r="B113" s="2">
        <f ca="1">YEAR(DATE(Calendar8Year,Calendar8MonthOption+1,1))</f>
        <v>2018</v>
      </c>
      <c r="C113" s="3" t="str">
        <f ca="1">TEXT(DATE(Calendar8Year,Calendar8MonthOption+1,1),"m月")</f>
        <v>11月</v>
      </c>
      <c r="D113" s="14"/>
      <c r="E113" s="14"/>
      <c r="F113" s="14"/>
      <c r="G113" s="14"/>
      <c r="H113" s="1"/>
    </row>
    <row r="114" spans="1:8" ht="14.25" customHeight="1" x14ac:dyDescent="0.35">
      <c r="A114" s="5"/>
      <c r="B114" s="6" t="str">
        <f t="shared" ref="B114:H114" ca="1" si="8">UPPER(TEXT(B115,"aaaa"))</f>
        <v>星期一</v>
      </c>
      <c r="C114" s="8" t="str">
        <f t="shared" ca="1" si="8"/>
        <v>星期二</v>
      </c>
      <c r="D114" s="6" t="str">
        <f t="shared" ca="1" si="8"/>
        <v>星期三</v>
      </c>
      <c r="E114" s="8" t="str">
        <f t="shared" ca="1" si="8"/>
        <v>星期四</v>
      </c>
      <c r="F114" s="6" t="str">
        <f t="shared" ca="1" si="8"/>
        <v>星期五</v>
      </c>
      <c r="G114" s="8" t="str">
        <f t="shared" ca="1" si="8"/>
        <v>星期六</v>
      </c>
      <c r="H114" s="6" t="str">
        <f t="shared" ca="1" si="8"/>
        <v>星期日</v>
      </c>
    </row>
    <row r="115" spans="1:8" ht="16.5" customHeight="1" x14ac:dyDescent="0.3">
      <c r="B115" s="9">
        <f t="array" aca="1" ref="B115:H115" ca="1">日+1+DATE(Calendar9Year,Calendar9MonthOption,1)-WEEKDAY(DATE(Calendar9Year,Calendar9MonthOption,1),WeekdayOption)</f>
        <v>43402</v>
      </c>
      <c r="C115" s="9">
        <f ca="1"/>
        <v>43403</v>
      </c>
      <c r="D115" s="9">
        <f ca="1"/>
        <v>43404</v>
      </c>
      <c r="E115" s="9">
        <f ca="1"/>
        <v>43405</v>
      </c>
      <c r="F115" s="9">
        <f ca="1"/>
        <v>43406</v>
      </c>
      <c r="G115" s="9">
        <f ca="1"/>
        <v>43407</v>
      </c>
      <c r="H115" s="10">
        <f ca="1"/>
        <v>43408</v>
      </c>
    </row>
    <row r="116" spans="1:8" ht="56.25" customHeight="1" x14ac:dyDescent="0.3">
      <c r="B116" s="11"/>
      <c r="C116" s="11"/>
      <c r="D116" s="11"/>
      <c r="E116" s="11"/>
      <c r="F116" s="11"/>
      <c r="G116" s="11"/>
      <c r="H116" s="12"/>
    </row>
    <row r="117" spans="1:8" ht="16.5" customHeight="1" x14ac:dyDescent="0.3">
      <c r="B117" s="9">
        <f t="array" aca="1" ref="B117:H117" ca="1">日+8+DATE(Calendar9Year,Calendar9MonthOption,1)-WEEKDAY(DATE(Calendar9Year,Calendar9MonthOption,1),WeekdayOption)</f>
        <v>43409</v>
      </c>
      <c r="C117" s="9">
        <f ca="1"/>
        <v>43410</v>
      </c>
      <c r="D117" s="9">
        <f ca="1"/>
        <v>43411</v>
      </c>
      <c r="E117" s="9">
        <f ca="1"/>
        <v>43412</v>
      </c>
      <c r="F117" s="9">
        <f ca="1"/>
        <v>43413</v>
      </c>
      <c r="G117" s="9">
        <f ca="1"/>
        <v>43414</v>
      </c>
      <c r="H117" s="10">
        <f ca="1"/>
        <v>43415</v>
      </c>
    </row>
    <row r="118" spans="1:8" ht="56.25" customHeight="1" x14ac:dyDescent="0.3">
      <c r="B118" s="11"/>
      <c r="C118" s="11"/>
      <c r="D118" s="11"/>
      <c r="E118" s="11"/>
      <c r="F118" s="11"/>
      <c r="G118" s="11"/>
      <c r="H118" s="12"/>
    </row>
    <row r="119" spans="1:8" ht="16.5" customHeight="1" x14ac:dyDescent="0.3">
      <c r="B119" s="9">
        <f t="array" aca="1" ref="B119:H119" ca="1">日+15+DATE(Calendar9Year,Calendar9MonthOption,1)-WEEKDAY(DATE(Calendar9Year,Calendar9MonthOption,1),WeekdayOption)</f>
        <v>43416</v>
      </c>
      <c r="C119" s="9">
        <f ca="1"/>
        <v>43417</v>
      </c>
      <c r="D119" s="9">
        <f ca="1"/>
        <v>43418</v>
      </c>
      <c r="E119" s="9">
        <f ca="1"/>
        <v>43419</v>
      </c>
      <c r="F119" s="9">
        <f ca="1"/>
        <v>43420</v>
      </c>
      <c r="G119" s="9">
        <f ca="1"/>
        <v>43421</v>
      </c>
      <c r="H119" s="10">
        <f ca="1"/>
        <v>43422</v>
      </c>
    </row>
    <row r="120" spans="1:8" ht="56.25" customHeight="1" x14ac:dyDescent="0.3">
      <c r="B120" s="11"/>
      <c r="C120" s="11"/>
      <c r="D120" s="11"/>
      <c r="E120" s="11"/>
      <c r="F120" s="11"/>
      <c r="G120" s="11"/>
      <c r="H120" s="12"/>
    </row>
    <row r="121" spans="1:8" ht="16.5" customHeight="1" x14ac:dyDescent="0.3">
      <c r="B121" s="9">
        <f t="array" aca="1" ref="B121:H121" ca="1">日+22+DATE(Calendar9Year,Calendar9MonthOption,1)-WEEKDAY(DATE(Calendar9Year,Calendar9MonthOption,1),WeekdayOption)</f>
        <v>43423</v>
      </c>
      <c r="C121" s="9">
        <f ca="1"/>
        <v>43424</v>
      </c>
      <c r="D121" s="9">
        <f ca="1"/>
        <v>43425</v>
      </c>
      <c r="E121" s="9">
        <f ca="1"/>
        <v>43426</v>
      </c>
      <c r="F121" s="9">
        <f ca="1"/>
        <v>43427</v>
      </c>
      <c r="G121" s="9">
        <f ca="1"/>
        <v>43428</v>
      </c>
      <c r="H121" s="10">
        <f ca="1"/>
        <v>43429</v>
      </c>
    </row>
    <row r="122" spans="1:8" ht="56.25" customHeight="1" x14ac:dyDescent="0.3">
      <c r="B122" s="11"/>
      <c r="C122" s="11"/>
      <c r="D122" s="11"/>
      <c r="E122" s="11"/>
      <c r="F122" s="11"/>
      <c r="G122" s="11"/>
      <c r="H122" s="12"/>
    </row>
    <row r="123" spans="1:8" ht="16.5" customHeight="1" x14ac:dyDescent="0.3">
      <c r="B123" s="9">
        <f t="array" aca="1" ref="B123:H123" ca="1">日+29+DATE(Calendar9Year,Calendar9MonthOption,1)-WEEKDAY(DATE(Calendar9Year,Calendar9MonthOption,1),WeekdayOption)</f>
        <v>43430</v>
      </c>
      <c r="C123" s="9">
        <f ca="1"/>
        <v>43431</v>
      </c>
      <c r="D123" s="9">
        <f ca="1"/>
        <v>43432</v>
      </c>
      <c r="E123" s="9">
        <f ca="1"/>
        <v>43433</v>
      </c>
      <c r="F123" s="9">
        <f ca="1"/>
        <v>43434</v>
      </c>
      <c r="G123" s="9">
        <f ca="1"/>
        <v>43435</v>
      </c>
      <c r="H123" s="10">
        <f ca="1"/>
        <v>43436</v>
      </c>
    </row>
    <row r="124" spans="1:8" ht="57" customHeight="1" x14ac:dyDescent="0.3">
      <c r="B124" s="11"/>
      <c r="C124" s="11"/>
      <c r="D124" s="11"/>
      <c r="E124" s="11"/>
      <c r="F124" s="11"/>
      <c r="G124" s="11"/>
      <c r="H124" s="15"/>
    </row>
    <row r="125" spans="1:8" ht="16.5" customHeight="1" x14ac:dyDescent="0.3">
      <c r="B125" s="9">
        <f t="array" aca="1" ref="B125:C125" ca="1">日+36+DATE(Calendar9Year,Calendar9MonthOption,1)-WEEKDAY(DATE(Calendar9Year,Calendar9MonthOption,1),WeekdayOption)</f>
        <v>43437</v>
      </c>
      <c r="C125" s="9">
        <f ca="1"/>
        <v>43438</v>
      </c>
      <c r="D125" s="17" t="s">
        <v>0</v>
      </c>
      <c r="E125" s="17"/>
      <c r="F125" s="17"/>
      <c r="G125" s="17"/>
      <c r="H125" s="17"/>
    </row>
    <row r="126" spans="1:8" ht="63.75" customHeight="1" x14ac:dyDescent="0.3">
      <c r="B126" s="11"/>
      <c r="C126" s="11"/>
      <c r="D126" s="19"/>
      <c r="E126" s="19"/>
      <c r="F126" s="19"/>
      <c r="G126" s="19"/>
      <c r="H126" s="19"/>
    </row>
    <row r="127" spans="1:8" ht="54" customHeight="1" x14ac:dyDescent="0.75">
      <c r="A127" s="1"/>
      <c r="B127" s="2">
        <f ca="1">YEAR(DATE(Calendar9Year,Calendar9MonthOption+1,1))</f>
        <v>2018</v>
      </c>
      <c r="C127" s="3" t="str">
        <f ca="1">TEXT(DATE(Calendar9Year,Calendar9MonthOption+1,1),"m月")</f>
        <v>12月</v>
      </c>
      <c r="D127" s="14"/>
      <c r="E127" s="14"/>
      <c r="F127" s="14"/>
      <c r="G127" s="14"/>
      <c r="H127" s="1"/>
    </row>
    <row r="128" spans="1:8" ht="14.25" customHeight="1" x14ac:dyDescent="0.35">
      <c r="A128" s="5"/>
      <c r="B128" s="6" t="str">
        <f t="shared" ref="B128:H128" ca="1" si="9">UPPER(TEXT(B129,"aaaa"))</f>
        <v>星期一</v>
      </c>
      <c r="C128" s="8" t="str">
        <f t="shared" ca="1" si="9"/>
        <v>星期二</v>
      </c>
      <c r="D128" s="6" t="str">
        <f t="shared" ca="1" si="9"/>
        <v>星期三</v>
      </c>
      <c r="E128" s="8" t="str">
        <f t="shared" ca="1" si="9"/>
        <v>星期四</v>
      </c>
      <c r="F128" s="6" t="str">
        <f t="shared" ca="1" si="9"/>
        <v>星期五</v>
      </c>
      <c r="G128" s="8" t="str">
        <f t="shared" ca="1" si="9"/>
        <v>星期六</v>
      </c>
      <c r="H128" s="6" t="str">
        <f t="shared" ca="1" si="9"/>
        <v>星期日</v>
      </c>
    </row>
    <row r="129" spans="2:8" ht="16.5" customHeight="1" x14ac:dyDescent="0.3">
      <c r="B129" s="9">
        <f t="array" aca="1" ref="B129:H129" ca="1">日+1+DATE(Calendar10Year,Calendar10MonthOption,1)-WEEKDAY(DATE(Calendar10Year,Calendar10MonthOption,1),WeekdayOption)</f>
        <v>43430</v>
      </c>
      <c r="C129" s="9">
        <f ca="1"/>
        <v>43431</v>
      </c>
      <c r="D129" s="9">
        <f ca="1"/>
        <v>43432</v>
      </c>
      <c r="E129" s="9">
        <f ca="1"/>
        <v>43433</v>
      </c>
      <c r="F129" s="9">
        <f ca="1"/>
        <v>43434</v>
      </c>
      <c r="G129" s="9">
        <f ca="1"/>
        <v>43435</v>
      </c>
      <c r="H129" s="10">
        <f ca="1"/>
        <v>43436</v>
      </c>
    </row>
    <row r="130" spans="2:8" ht="56.25" customHeight="1" x14ac:dyDescent="0.3">
      <c r="B130" s="11"/>
      <c r="C130" s="11"/>
      <c r="D130" s="11"/>
      <c r="E130" s="11"/>
      <c r="F130" s="11"/>
      <c r="G130" s="11"/>
      <c r="H130" s="12"/>
    </row>
    <row r="131" spans="2:8" ht="16.5" customHeight="1" x14ac:dyDescent="0.3">
      <c r="B131" s="9">
        <f t="array" aca="1" ref="B131:H131" ca="1">日+8+DATE(Calendar10Year,Calendar10MonthOption,1)-WEEKDAY(DATE(Calendar10Year,Calendar10MonthOption,1),WeekdayOption)</f>
        <v>43437</v>
      </c>
      <c r="C131" s="9">
        <f ca="1"/>
        <v>43438</v>
      </c>
      <c r="D131" s="9">
        <f ca="1"/>
        <v>43439</v>
      </c>
      <c r="E131" s="9">
        <f ca="1"/>
        <v>43440</v>
      </c>
      <c r="F131" s="9">
        <f ca="1"/>
        <v>43441</v>
      </c>
      <c r="G131" s="9">
        <f ca="1"/>
        <v>43442</v>
      </c>
      <c r="H131" s="10">
        <f ca="1"/>
        <v>43443</v>
      </c>
    </row>
    <row r="132" spans="2:8" ht="56.25" customHeight="1" x14ac:dyDescent="0.3">
      <c r="B132" s="11"/>
      <c r="C132" s="11"/>
      <c r="D132" s="11"/>
      <c r="E132" s="11"/>
      <c r="F132" s="11"/>
      <c r="G132" s="11"/>
      <c r="H132" s="12"/>
    </row>
    <row r="133" spans="2:8" ht="16.5" customHeight="1" x14ac:dyDescent="0.3">
      <c r="B133" s="9">
        <f t="array" aca="1" ref="B133:H133" ca="1">日+15+DATE(Calendar10Year,Calendar10MonthOption,1)-WEEKDAY(DATE(Calendar10Year,Calendar10MonthOption,1),WeekdayOption)</f>
        <v>43444</v>
      </c>
      <c r="C133" s="9">
        <f ca="1"/>
        <v>43445</v>
      </c>
      <c r="D133" s="9">
        <f ca="1"/>
        <v>43446</v>
      </c>
      <c r="E133" s="9">
        <f ca="1"/>
        <v>43447</v>
      </c>
      <c r="F133" s="9">
        <f ca="1"/>
        <v>43448</v>
      </c>
      <c r="G133" s="9">
        <f ca="1"/>
        <v>43449</v>
      </c>
      <c r="H133" s="10">
        <f ca="1"/>
        <v>43450</v>
      </c>
    </row>
    <row r="134" spans="2:8" ht="56.25" customHeight="1" x14ac:dyDescent="0.3">
      <c r="B134" s="11"/>
      <c r="C134" s="11"/>
      <c r="D134" s="11"/>
      <c r="E134" s="11"/>
      <c r="F134" s="11"/>
      <c r="G134" s="11"/>
      <c r="H134" s="12"/>
    </row>
    <row r="135" spans="2:8" ht="16.5" customHeight="1" x14ac:dyDescent="0.3">
      <c r="B135" s="9">
        <f t="array" aca="1" ref="B135:H135" ca="1">日+22+DATE(Calendar10Year,Calendar10MonthOption,1)-WEEKDAY(DATE(Calendar10Year,Calendar10MonthOption,1),WeekdayOption)</f>
        <v>43451</v>
      </c>
      <c r="C135" s="9">
        <f ca="1"/>
        <v>43452</v>
      </c>
      <c r="D135" s="9">
        <f ca="1"/>
        <v>43453</v>
      </c>
      <c r="E135" s="9">
        <f ca="1"/>
        <v>43454</v>
      </c>
      <c r="F135" s="9">
        <f ca="1"/>
        <v>43455</v>
      </c>
      <c r="G135" s="9">
        <f ca="1"/>
        <v>43456</v>
      </c>
      <c r="H135" s="10">
        <f ca="1"/>
        <v>43457</v>
      </c>
    </row>
    <row r="136" spans="2:8" ht="56.25" customHeight="1" x14ac:dyDescent="0.3">
      <c r="B136" s="11"/>
      <c r="C136" s="11"/>
      <c r="D136" s="11"/>
      <c r="E136" s="11"/>
      <c r="F136" s="11"/>
      <c r="G136" s="11"/>
      <c r="H136" s="12"/>
    </row>
    <row r="137" spans="2:8" ht="16.5" customHeight="1" x14ac:dyDescent="0.3">
      <c r="B137" s="9">
        <f t="array" aca="1" ref="B137:H137" ca="1">日+29+DATE(Calendar10Year,Calendar10MonthOption,1)-WEEKDAY(DATE(Calendar10Year,Calendar10MonthOption,1),WeekdayOption)</f>
        <v>43458</v>
      </c>
      <c r="C137" s="9">
        <f ca="1"/>
        <v>43459</v>
      </c>
      <c r="D137" s="9">
        <f ca="1"/>
        <v>43460</v>
      </c>
      <c r="E137" s="9">
        <f ca="1"/>
        <v>43461</v>
      </c>
      <c r="F137" s="9">
        <f ca="1"/>
        <v>43462</v>
      </c>
      <c r="G137" s="9">
        <f ca="1"/>
        <v>43463</v>
      </c>
      <c r="H137" s="10">
        <f ca="1"/>
        <v>43464</v>
      </c>
    </row>
    <row r="138" spans="2:8" ht="57" customHeight="1" x14ac:dyDescent="0.3">
      <c r="B138" s="11"/>
      <c r="C138" s="11"/>
      <c r="D138" s="11"/>
      <c r="E138" s="11"/>
      <c r="F138" s="11"/>
      <c r="G138" s="11"/>
      <c r="H138" s="15"/>
    </row>
    <row r="139" spans="2:8" ht="16.5" customHeight="1" x14ac:dyDescent="0.3">
      <c r="B139" s="9">
        <f t="array" aca="1" ref="B139:C139" ca="1">日+36+DATE(Calendar10Year,Calendar10MonthOption,1)-WEEKDAY(DATE(Calendar10Year,Calendar10MonthOption,1),WeekdayOption)</f>
        <v>43465</v>
      </c>
      <c r="C139" s="9">
        <f ca="1"/>
        <v>43466</v>
      </c>
      <c r="D139" s="17" t="s">
        <v>0</v>
      </c>
      <c r="E139" s="17"/>
      <c r="F139" s="17"/>
      <c r="G139" s="17"/>
      <c r="H139" s="17"/>
    </row>
    <row r="140" spans="2:8" ht="63.75" customHeight="1" x14ac:dyDescent="0.3">
      <c r="B140" s="11"/>
      <c r="C140" s="11"/>
      <c r="D140" s="19"/>
      <c r="E140" s="19"/>
      <c r="F140" s="19"/>
      <c r="G140" s="19"/>
      <c r="H140" s="19"/>
    </row>
    <row r="141" spans="2:8" ht="54" customHeight="1" x14ac:dyDescent="0.75">
      <c r="B141" s="2">
        <f ca="1">YEAR(DATE(Calendar10Year,Calendar10MonthOption+1,1))</f>
        <v>2019</v>
      </c>
      <c r="C141" s="3" t="str">
        <f ca="1">TEXT(DATE(Calendar10Year,Calendar10MonthOption+1,1),"m月")</f>
        <v>1月</v>
      </c>
      <c r="D141" s="14"/>
      <c r="E141" s="14"/>
      <c r="F141" s="14"/>
      <c r="G141" s="14"/>
      <c r="H141" s="1"/>
    </row>
    <row r="142" spans="2:8" ht="14.25" customHeight="1" x14ac:dyDescent="0.3">
      <c r="B142" s="6" t="str">
        <f t="shared" ref="B142:H142" ca="1" si="10">UPPER(TEXT(B143,"aaaa"))</f>
        <v>星期一</v>
      </c>
      <c r="C142" s="8" t="str">
        <f t="shared" ca="1" si="10"/>
        <v>星期二</v>
      </c>
      <c r="D142" s="6" t="str">
        <f t="shared" ca="1" si="10"/>
        <v>星期三</v>
      </c>
      <c r="E142" s="8" t="str">
        <f t="shared" ca="1" si="10"/>
        <v>星期四</v>
      </c>
      <c r="F142" s="6" t="str">
        <f t="shared" ca="1" si="10"/>
        <v>星期五</v>
      </c>
      <c r="G142" s="8" t="str">
        <f t="shared" ca="1" si="10"/>
        <v>星期六</v>
      </c>
      <c r="H142" s="6" t="str">
        <f t="shared" ca="1" si="10"/>
        <v>星期日</v>
      </c>
    </row>
    <row r="143" spans="2:8" ht="16.5" customHeight="1" x14ac:dyDescent="0.3">
      <c r="B143" s="9">
        <f t="array" aca="1" ref="B143:H143" ca="1">日+1+DATE(Calendar11Year,Calendar11MonthOption,1)-WEEKDAY(DATE(Calendar11Year,Calendar11MonthOption,1),WeekdayOption)</f>
        <v>43465</v>
      </c>
      <c r="C143" s="9">
        <f ca="1"/>
        <v>43466</v>
      </c>
      <c r="D143" s="9">
        <f ca="1"/>
        <v>43467</v>
      </c>
      <c r="E143" s="9">
        <f ca="1"/>
        <v>43468</v>
      </c>
      <c r="F143" s="9">
        <f ca="1"/>
        <v>43469</v>
      </c>
      <c r="G143" s="9">
        <f ca="1"/>
        <v>43470</v>
      </c>
      <c r="H143" s="10">
        <f ca="1"/>
        <v>43471</v>
      </c>
    </row>
    <row r="144" spans="2:8" ht="56.25" customHeight="1" x14ac:dyDescent="0.3">
      <c r="B144" s="11"/>
      <c r="C144" s="11"/>
      <c r="D144" s="11"/>
      <c r="E144" s="11"/>
      <c r="F144" s="11"/>
      <c r="G144" s="11"/>
      <c r="H144" s="12"/>
    </row>
    <row r="145" spans="2:8" ht="16.5" customHeight="1" x14ac:dyDescent="0.3">
      <c r="B145" s="9">
        <f t="array" aca="1" ref="B145:H145" ca="1">日+8+DATE(Calendar11Year,Calendar11MonthOption,1)-WEEKDAY(DATE(Calendar11Year,Calendar11MonthOption,1),WeekdayOption)</f>
        <v>43472</v>
      </c>
      <c r="C145" s="9">
        <f ca="1"/>
        <v>43473</v>
      </c>
      <c r="D145" s="9">
        <f ca="1"/>
        <v>43474</v>
      </c>
      <c r="E145" s="9">
        <f ca="1"/>
        <v>43475</v>
      </c>
      <c r="F145" s="9">
        <f ca="1"/>
        <v>43476</v>
      </c>
      <c r="G145" s="9">
        <f ca="1"/>
        <v>43477</v>
      </c>
      <c r="H145" s="10">
        <f ca="1"/>
        <v>43478</v>
      </c>
    </row>
    <row r="146" spans="2:8" ht="56.25" customHeight="1" x14ac:dyDescent="0.3">
      <c r="B146" s="11"/>
      <c r="C146" s="11"/>
      <c r="D146" s="11"/>
      <c r="E146" s="11"/>
      <c r="F146" s="11"/>
      <c r="G146" s="11"/>
      <c r="H146" s="12"/>
    </row>
    <row r="147" spans="2:8" ht="16.5" customHeight="1" x14ac:dyDescent="0.3">
      <c r="B147" s="9">
        <f t="array" aca="1" ref="B147:H147" ca="1">日+15+DATE(Calendar11Year,Calendar11MonthOption,1)-WEEKDAY(DATE(Calendar11Year,Calendar11MonthOption,1),WeekdayOption)</f>
        <v>43479</v>
      </c>
      <c r="C147" s="9">
        <f ca="1"/>
        <v>43480</v>
      </c>
      <c r="D147" s="9">
        <f ca="1"/>
        <v>43481</v>
      </c>
      <c r="E147" s="9">
        <f ca="1"/>
        <v>43482</v>
      </c>
      <c r="F147" s="9">
        <f ca="1"/>
        <v>43483</v>
      </c>
      <c r="G147" s="9">
        <f ca="1"/>
        <v>43484</v>
      </c>
      <c r="H147" s="10">
        <f ca="1"/>
        <v>43485</v>
      </c>
    </row>
    <row r="148" spans="2:8" ht="56.25" customHeight="1" x14ac:dyDescent="0.3">
      <c r="B148" s="11"/>
      <c r="C148" s="11"/>
      <c r="D148" s="11"/>
      <c r="E148" s="11"/>
      <c r="F148" s="11"/>
      <c r="G148" s="11"/>
      <c r="H148" s="12"/>
    </row>
    <row r="149" spans="2:8" ht="16.5" customHeight="1" x14ac:dyDescent="0.3">
      <c r="B149" s="9">
        <f t="array" aca="1" ref="B149:H149" ca="1">日+22+DATE(Calendar11Year,Calendar11MonthOption,1)-WEEKDAY(DATE(Calendar11Year,Calendar11MonthOption,1),WeekdayOption)</f>
        <v>43486</v>
      </c>
      <c r="C149" s="9">
        <f ca="1"/>
        <v>43487</v>
      </c>
      <c r="D149" s="9">
        <f ca="1"/>
        <v>43488</v>
      </c>
      <c r="E149" s="9">
        <f ca="1"/>
        <v>43489</v>
      </c>
      <c r="F149" s="9">
        <f ca="1"/>
        <v>43490</v>
      </c>
      <c r="G149" s="9">
        <f ca="1"/>
        <v>43491</v>
      </c>
      <c r="H149" s="10">
        <f ca="1"/>
        <v>43492</v>
      </c>
    </row>
    <row r="150" spans="2:8" ht="56.25" customHeight="1" x14ac:dyDescent="0.3">
      <c r="B150" s="11"/>
      <c r="C150" s="11"/>
      <c r="D150" s="11"/>
      <c r="E150" s="11"/>
      <c r="F150" s="11"/>
      <c r="G150" s="11"/>
      <c r="H150" s="12"/>
    </row>
    <row r="151" spans="2:8" ht="16.5" customHeight="1" x14ac:dyDescent="0.3">
      <c r="B151" s="9">
        <f t="array" aca="1" ref="B151:H151" ca="1">日+29+DATE(Calendar11Year,Calendar11MonthOption,1)-WEEKDAY(DATE(Calendar11Year,Calendar11MonthOption,1),WeekdayOption)</f>
        <v>43493</v>
      </c>
      <c r="C151" s="9">
        <f ca="1"/>
        <v>43494</v>
      </c>
      <c r="D151" s="9">
        <f ca="1"/>
        <v>43495</v>
      </c>
      <c r="E151" s="9">
        <f ca="1"/>
        <v>43496</v>
      </c>
      <c r="F151" s="9">
        <f ca="1"/>
        <v>43497</v>
      </c>
      <c r="G151" s="9">
        <f ca="1"/>
        <v>43498</v>
      </c>
      <c r="H151" s="10">
        <f ca="1"/>
        <v>43499</v>
      </c>
    </row>
    <row r="152" spans="2:8" ht="57" customHeight="1" x14ac:dyDescent="0.3">
      <c r="B152" s="11"/>
      <c r="C152" s="11"/>
      <c r="D152" s="11"/>
      <c r="E152" s="11"/>
      <c r="F152" s="11"/>
      <c r="G152" s="11"/>
      <c r="H152" s="15"/>
    </row>
    <row r="153" spans="2:8" ht="16.5" customHeight="1" x14ac:dyDescent="0.3">
      <c r="B153" s="9">
        <f t="array" aca="1" ref="B153:C153" ca="1">日+36+DATE(Calendar11Year,Calendar11MonthOption,1)-WEEKDAY(DATE(Calendar11Year,Calendar11MonthOption,1),WeekdayOption)</f>
        <v>43500</v>
      </c>
      <c r="C153" s="9">
        <f ca="1"/>
        <v>43501</v>
      </c>
      <c r="D153" s="17" t="s">
        <v>0</v>
      </c>
      <c r="E153" s="17"/>
      <c r="F153" s="17"/>
      <c r="G153" s="17"/>
      <c r="H153" s="17"/>
    </row>
    <row r="154" spans="2:8" ht="63.75" customHeight="1" x14ac:dyDescent="0.3">
      <c r="B154" s="11"/>
      <c r="C154" s="11"/>
      <c r="D154" s="19"/>
      <c r="E154" s="19"/>
      <c r="F154" s="19"/>
      <c r="G154" s="19"/>
      <c r="H154" s="19"/>
    </row>
    <row r="155" spans="2:8" ht="54" customHeight="1" x14ac:dyDescent="0.75">
      <c r="B155" s="2">
        <f ca="1">YEAR(DATE(Calendar11Year,Calendar11MonthOption+1,1))</f>
        <v>2019</v>
      </c>
      <c r="C155" s="3" t="str">
        <f ca="1">TEXT(DATE(Calendar11Year,Calendar11MonthOption+1,1),"m月")</f>
        <v>2月</v>
      </c>
      <c r="D155" s="14"/>
      <c r="E155" s="14"/>
      <c r="F155" s="14"/>
      <c r="G155" s="14"/>
      <c r="H155" s="1"/>
    </row>
    <row r="156" spans="2:8" ht="14.25" customHeight="1" x14ac:dyDescent="0.3">
      <c r="B156" s="6" t="str">
        <f t="shared" ref="B156:H156" ca="1" si="11">UPPER(TEXT(B157,"aaaa"))</f>
        <v>星期一</v>
      </c>
      <c r="C156" s="8" t="str">
        <f t="shared" ca="1" si="11"/>
        <v>星期二</v>
      </c>
      <c r="D156" s="6" t="str">
        <f t="shared" ca="1" si="11"/>
        <v>星期三</v>
      </c>
      <c r="E156" s="8" t="str">
        <f t="shared" ca="1" si="11"/>
        <v>星期四</v>
      </c>
      <c r="F156" s="6" t="str">
        <f t="shared" ca="1" si="11"/>
        <v>星期五</v>
      </c>
      <c r="G156" s="8" t="str">
        <f t="shared" ca="1" si="11"/>
        <v>星期六</v>
      </c>
      <c r="H156" s="6" t="str">
        <f t="shared" ca="1" si="11"/>
        <v>星期日</v>
      </c>
    </row>
    <row r="157" spans="2:8" ht="16.5" customHeight="1" x14ac:dyDescent="0.3">
      <c r="B157" s="9">
        <f t="array" aca="1" ref="B157:H157" ca="1">日+1+DATE(Calendar12Year,Calendar12MonthOption,1)-WEEKDAY(DATE(Calendar12Year,Calendar12MonthOption,1),WeekdayOption)</f>
        <v>43493</v>
      </c>
      <c r="C157" s="9">
        <f ca="1"/>
        <v>43494</v>
      </c>
      <c r="D157" s="9">
        <f ca="1"/>
        <v>43495</v>
      </c>
      <c r="E157" s="9">
        <f ca="1"/>
        <v>43496</v>
      </c>
      <c r="F157" s="9">
        <f ca="1"/>
        <v>43497</v>
      </c>
      <c r="G157" s="9">
        <f ca="1"/>
        <v>43498</v>
      </c>
      <c r="H157" s="10">
        <f ca="1"/>
        <v>43499</v>
      </c>
    </row>
    <row r="158" spans="2:8" ht="56.25" customHeight="1" x14ac:dyDescent="0.3">
      <c r="B158" s="11"/>
      <c r="C158" s="11"/>
      <c r="D158" s="11"/>
      <c r="E158" s="11"/>
      <c r="F158" s="11"/>
      <c r="G158" s="11"/>
      <c r="H158" s="12"/>
    </row>
    <row r="159" spans="2:8" ht="16.5" customHeight="1" x14ac:dyDescent="0.3">
      <c r="B159" s="9">
        <f t="array" aca="1" ref="B159:H159" ca="1">日+8+DATE(Calendar12Year,Calendar12MonthOption,1)-WEEKDAY(DATE(Calendar12Year,Calendar12MonthOption,1),WeekdayOption)</f>
        <v>43500</v>
      </c>
      <c r="C159" s="9">
        <f ca="1"/>
        <v>43501</v>
      </c>
      <c r="D159" s="9">
        <f ca="1"/>
        <v>43502</v>
      </c>
      <c r="E159" s="9">
        <f ca="1"/>
        <v>43503</v>
      </c>
      <c r="F159" s="9">
        <f ca="1"/>
        <v>43504</v>
      </c>
      <c r="G159" s="9">
        <f ca="1"/>
        <v>43505</v>
      </c>
      <c r="H159" s="10">
        <f ca="1"/>
        <v>43506</v>
      </c>
    </row>
    <row r="160" spans="2:8" ht="56.25" customHeight="1" x14ac:dyDescent="0.3">
      <c r="B160" s="11"/>
      <c r="C160" s="11"/>
      <c r="D160" s="11"/>
      <c r="E160" s="11"/>
      <c r="F160" s="11"/>
      <c r="G160" s="11"/>
      <c r="H160" s="12"/>
    </row>
    <row r="161" spans="2:8" ht="16.5" customHeight="1" x14ac:dyDescent="0.3">
      <c r="B161" s="9">
        <f t="array" aca="1" ref="B161:H161" ca="1">日+15+DATE(Calendar12Year,Calendar12MonthOption,1)-WEEKDAY(DATE(Calendar12Year,Calendar12MonthOption,1),WeekdayOption)</f>
        <v>43507</v>
      </c>
      <c r="C161" s="9">
        <f ca="1"/>
        <v>43508</v>
      </c>
      <c r="D161" s="9">
        <f ca="1"/>
        <v>43509</v>
      </c>
      <c r="E161" s="9">
        <f ca="1"/>
        <v>43510</v>
      </c>
      <c r="F161" s="9">
        <f ca="1"/>
        <v>43511</v>
      </c>
      <c r="G161" s="9">
        <f ca="1"/>
        <v>43512</v>
      </c>
      <c r="H161" s="10">
        <f ca="1"/>
        <v>43513</v>
      </c>
    </row>
    <row r="162" spans="2:8" ht="56.25" customHeight="1" x14ac:dyDescent="0.3">
      <c r="B162" s="11"/>
      <c r="C162" s="11"/>
      <c r="D162" s="11"/>
      <c r="E162" s="11"/>
      <c r="F162" s="11"/>
      <c r="G162" s="11"/>
      <c r="H162" s="12"/>
    </row>
    <row r="163" spans="2:8" ht="16.5" customHeight="1" x14ac:dyDescent="0.3">
      <c r="B163" s="9">
        <f t="array" aca="1" ref="B163:H163" ca="1">日+22+DATE(Calendar12Year,Calendar12MonthOption,1)-WEEKDAY(DATE(Calendar12Year,Calendar12MonthOption,1),WeekdayOption)</f>
        <v>43514</v>
      </c>
      <c r="C163" s="9">
        <f ca="1"/>
        <v>43515</v>
      </c>
      <c r="D163" s="9">
        <f ca="1"/>
        <v>43516</v>
      </c>
      <c r="E163" s="9">
        <f ca="1"/>
        <v>43517</v>
      </c>
      <c r="F163" s="9">
        <f ca="1"/>
        <v>43518</v>
      </c>
      <c r="G163" s="9">
        <f ca="1"/>
        <v>43519</v>
      </c>
      <c r="H163" s="10">
        <f ca="1"/>
        <v>43520</v>
      </c>
    </row>
    <row r="164" spans="2:8" ht="56.25" customHeight="1" x14ac:dyDescent="0.3">
      <c r="B164" s="11"/>
      <c r="C164" s="11"/>
      <c r="D164" s="11"/>
      <c r="E164" s="11"/>
      <c r="F164" s="11"/>
      <c r="G164" s="11"/>
      <c r="H164" s="12"/>
    </row>
    <row r="165" spans="2:8" ht="16.5" customHeight="1" x14ac:dyDescent="0.3">
      <c r="B165" s="9">
        <f t="array" aca="1" ref="B165:H165" ca="1">日+29+DATE(Calendar12Year,Calendar12MonthOption,1)-WEEKDAY(DATE(Calendar12Year,Calendar12MonthOption,1),WeekdayOption)</f>
        <v>43521</v>
      </c>
      <c r="C165" s="9">
        <f ca="1"/>
        <v>43522</v>
      </c>
      <c r="D165" s="9">
        <f ca="1"/>
        <v>43523</v>
      </c>
      <c r="E165" s="9">
        <f ca="1"/>
        <v>43524</v>
      </c>
      <c r="F165" s="9">
        <f ca="1"/>
        <v>43525</v>
      </c>
      <c r="G165" s="9">
        <f ca="1"/>
        <v>43526</v>
      </c>
      <c r="H165" s="10">
        <f ca="1"/>
        <v>43527</v>
      </c>
    </row>
    <row r="166" spans="2:8" ht="57" customHeight="1" x14ac:dyDescent="0.3">
      <c r="B166" s="11"/>
      <c r="C166" s="11"/>
      <c r="D166" s="11"/>
      <c r="E166" s="11"/>
      <c r="F166" s="11"/>
      <c r="G166" s="11"/>
      <c r="H166" s="15"/>
    </row>
    <row r="167" spans="2:8" ht="16.5" customHeight="1" x14ac:dyDescent="0.3">
      <c r="B167" s="9">
        <f t="array" aca="1" ref="B167:C167" ca="1">日+36+DATE(Calendar12Year,Calendar12MonthOption,1)-WEEKDAY(DATE(Calendar12Year,Calendar12MonthOption,1),WeekdayOption)</f>
        <v>43528</v>
      </c>
      <c r="C167" s="9">
        <f ca="1"/>
        <v>43529</v>
      </c>
      <c r="D167" s="17" t="s">
        <v>0</v>
      </c>
      <c r="E167" s="17"/>
      <c r="F167" s="17"/>
      <c r="G167" s="17"/>
      <c r="H167" s="17"/>
    </row>
    <row r="168" spans="2:8" ht="63.75" customHeight="1" x14ac:dyDescent="0.3">
      <c r="B168" s="11"/>
      <c r="C168" s="11"/>
      <c r="D168" s="19"/>
      <c r="E168" s="19"/>
      <c r="F168" s="19"/>
      <c r="G168" s="19"/>
      <c r="H168" s="19"/>
    </row>
  </sheetData>
  <mergeCells count="24">
    <mergeCell ref="D168:H168"/>
    <mergeCell ref="D139:H139"/>
    <mergeCell ref="D140:H140"/>
    <mergeCell ref="D97:H97"/>
    <mergeCell ref="D84:H84"/>
    <mergeCell ref="D126:H126"/>
    <mergeCell ref="D111:H111"/>
    <mergeCell ref="D125:H125"/>
    <mergeCell ref="D98:H98"/>
    <mergeCell ref="D112:H112"/>
    <mergeCell ref="D154:H154"/>
    <mergeCell ref="D167:H167"/>
    <mergeCell ref="D83:H83"/>
    <mergeCell ref="D153:H153"/>
    <mergeCell ref="D13:H13"/>
    <mergeCell ref="D14:H14"/>
    <mergeCell ref="D42:H42"/>
    <mergeCell ref="D56:H56"/>
    <mergeCell ref="D70:H70"/>
    <mergeCell ref="D55:H55"/>
    <mergeCell ref="D69:H69"/>
    <mergeCell ref="D27:H27"/>
    <mergeCell ref="D28:H28"/>
    <mergeCell ref="D41:H41"/>
  </mergeCells>
  <phoneticPr fontId="2" type="noConversion"/>
  <conditionalFormatting sqref="B3:H3 B5:H5 B7:H7 B9:H9 B11:H11 B13:C13">
    <cfRule type="expression" dxfId="11" priority="38">
      <formula>MONTH(B3)&lt;&gt;Calendar1MonthOption</formula>
    </cfRule>
  </conditionalFormatting>
  <conditionalFormatting sqref="B17:H17 B19:H19 B21:H21 B23:H23 B25:H25 B27:C27">
    <cfRule type="expression" dxfId="10" priority="27">
      <formula>MONTH(B17)&lt;&gt;Calendar2MonthOption</formula>
    </cfRule>
  </conditionalFormatting>
  <conditionalFormatting sqref="B31:H31 B33:H33 B35:H35 B37:H37 B39:H39 B41:C41">
    <cfRule type="expression" dxfId="9" priority="25">
      <formula>MONTH(B31)&lt;&gt;Calendar3MonthOption</formula>
    </cfRule>
  </conditionalFormatting>
  <conditionalFormatting sqref="B45:H45 B47:H47 B49:H49 B51:H51 B53:H53 B55:C55">
    <cfRule type="expression" dxfId="8" priority="23">
      <formula>MONTH(B45)&lt;&gt;Calendar4MonthOption</formula>
    </cfRule>
  </conditionalFormatting>
  <conditionalFormatting sqref="B59:H59 B61:H61 B63:H63 B65:H65 B67:H67 B69:C69">
    <cfRule type="expression" dxfId="7" priority="21">
      <formula>MONTH(B59)&lt;&gt;Calendar5MonthOption</formula>
    </cfRule>
  </conditionalFormatting>
  <conditionalFormatting sqref="B73:H73 B75:H75 B77:H77 B79:H79 B81:H81 B83:C83">
    <cfRule type="expression" dxfId="6" priority="19">
      <formula>MONTH(B73)&lt;&gt;Calendar6MonthOption</formula>
    </cfRule>
  </conditionalFormatting>
  <conditionalFormatting sqref="B87:H87 B89:H89 B91:H91 B93:H93 B95:H95 B97:C97">
    <cfRule type="expression" dxfId="5" priority="17">
      <formula>MONTH(B87)&lt;&gt;Calendar7MonthOption</formula>
    </cfRule>
  </conditionalFormatting>
  <conditionalFormatting sqref="B101:H101 B103:H103 B105:H105 B107:H107 B109:H109 B111:C111">
    <cfRule type="expression" dxfId="4" priority="15">
      <formula>MONTH(B101)&lt;&gt;Calendar8MonthOption</formula>
    </cfRule>
  </conditionalFormatting>
  <conditionalFormatting sqref="B115:H115 B117:H117 B119:H119 B121:H121 B123:H123 B125:C125">
    <cfRule type="expression" dxfId="3" priority="13">
      <formula>MONTH(B115)&lt;&gt;Calendar9MonthOption</formula>
    </cfRule>
  </conditionalFormatting>
  <conditionalFormatting sqref="B129:H129 B131:H131 B133:H133 B135:H135 B137:H137 B139:C139">
    <cfRule type="expression" dxfId="2" priority="3">
      <formula>MONTH(B129)&lt;&gt;Calendar10MonthOption</formula>
    </cfRule>
  </conditionalFormatting>
  <conditionalFormatting sqref="B143:H143 B145:H145 B147:H147 B149:H149 B151:H151 B153:C153">
    <cfRule type="expression" dxfId="1" priority="2">
      <formula>MONTH(B143)&lt;&gt;Calendar11MonthOption</formula>
    </cfRule>
  </conditionalFormatting>
  <conditionalFormatting sqref="B157:H157 B159:H159 B161:H161 B163:H163 B165:H165 B167:C167">
    <cfRule type="expression" dxfId="0" priority="1">
      <formula>MONTH(B157)&lt;&gt;Calendar12MonthOption</formula>
    </cfRule>
  </conditionalFormatting>
  <dataValidations count="13">
    <dataValidation type="list" allowBlank="1" showInputMessage="1" showErrorMessage="1" error="仅下拉列表中的日期可用于工作日标题。若要选择其他工作日，请选择“取消”，然后按 ALT + 向下箭头从下拉列表中选择" prompt="从下拉列表中选择一周的开始日期。按 ALT + 向下箭头以打开下拉列表，然后按 ENTER 选择某一天。该日历将自动更新" sqref="B2">
      <formula1>"星期日,星期一,星期二,星期三,星期四,星期五,星期六"</formula1>
    </dataValidation>
    <dataValidation type="list" allowBlank="1" showInputMessage="1" showErrorMessage="1" error="从列表的条目中选择一个月。选择“取消”，然后按 ALT + 向下箭头从下拉列表中选择" sqref="C1">
      <formula1>"1月,2月,3月,4月,5月,6月,7月,8月,9月,10月,11月,12月"</formula1>
    </dataValidation>
    <dataValidation allowBlank="1" showInputMessage="1" prompt="此工作簿是一个包含 12 个月的日历。在单元格 B1 中键入起始年份，然后在单元格 C1 中选择起始月份。该日历将自动更新后续月份" sqref="A1"/>
    <dataValidation allowBlank="1" showInputMessage="1" showErrorMessage="1" prompt="为此日历输入年份" sqref="B1"/>
    <dataValidation allowBlank="1" showInputMessage="1" prompt="自动确定工作日。若要更改工作日，请在 B2 中选择一周的新起始日期" sqref="H2"/>
    <dataValidation allowBlank="1" showInputMessage="1" prompt="日期" sqref="B3"/>
    <dataValidation allowBlank="1" showInputMessage="1" prompt="在此处输入每月备注" sqref="D14"/>
    <dataValidation allowBlank="1" showInputMessage="1" prompt="每月备注标题" sqref="D13"/>
    <dataValidation allowBlank="1" showInputMessage="1" prompt="在此处输入每日备注" sqref="B4"/>
    <dataValidation allowBlank="1" showInputMessage="1" prompt="日历年由在 B1 中输入的年份自动确定" sqref="B15"/>
    <dataValidation allowBlank="1" showInputMessage="1" prompt="日历月由在 C1 中选择的月份抵消" sqref="C15"/>
    <dataValidation allowBlank="1" showInputMessage="1" prompt="自动确定工作日。若要更改工作日，请在 B2 中选择一周的新起始日期" sqref="B16"/>
    <dataValidation allowBlank="1" showInputMessage="1" prompt="自动确定工作日。若要更改工作日，请在 B2 中选择一周的新起始日期" sqref="C2:G2"/>
  </dataValidations>
  <printOptions horizontalCentered="1" verticalCentered="1"/>
  <pageMargins left="0.25" right="0.25" top="0.45" bottom="0.45" header="0.5" footer="0.5"/>
  <pageSetup paperSize="9" fitToHeight="0" orientation="landscape" r:id="rId1"/>
  <headerFooter alignWithMargins="0"/>
  <rowBreaks count="11" manualBreakCount="11">
    <brk id="14" min="1" max="8" man="1"/>
    <brk id="28" min="1" max="8" man="1"/>
    <brk id="42" min="1" max="8" man="1"/>
    <brk id="56" min="1" max="8" man="1"/>
    <brk id="70" min="1" max="8" man="1"/>
    <brk id="84" min="1" max="8" man="1"/>
    <brk id="98" min="1" max="8" man="1"/>
    <brk id="112" min="1" max="8" man="1"/>
    <brk id="126" min="1" max="8" man="1"/>
    <brk id="140" min="1" max="8" man="1"/>
    <brk id="154" min="1" max="8" man="1"/>
  </rowBreak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26</vt:i4>
      </vt:variant>
    </vt:vector>
  </HeadingPairs>
  <TitlesOfParts>
    <vt:vector size="27" baseType="lpstr">
      <vt:lpstr>日历</vt:lpstr>
      <vt:lpstr>Calendar10Month</vt:lpstr>
      <vt:lpstr>Calendar10Year</vt:lpstr>
      <vt:lpstr>Calendar11Month</vt:lpstr>
      <vt:lpstr>Calendar11Year</vt:lpstr>
      <vt:lpstr>Calendar12Month</vt:lpstr>
      <vt:lpstr>Calendar12Year</vt:lpstr>
      <vt:lpstr>Calendar1Month</vt:lpstr>
      <vt:lpstr>Calendar1Year</vt:lpstr>
      <vt:lpstr>Calendar2Month</vt:lpstr>
      <vt:lpstr>Calendar2Year</vt:lpstr>
      <vt:lpstr>Calendar3Month</vt:lpstr>
      <vt:lpstr>Calendar3Year</vt:lpstr>
      <vt:lpstr>Calendar4Month</vt:lpstr>
      <vt:lpstr>Calendar4Year</vt:lpstr>
      <vt:lpstr>Calendar5Month</vt:lpstr>
      <vt:lpstr>Calendar5Year</vt:lpstr>
      <vt:lpstr>Calendar6Month</vt:lpstr>
      <vt:lpstr>Calendar6Year</vt:lpstr>
      <vt:lpstr>Calendar7Month</vt:lpstr>
      <vt:lpstr>Calendar7Year</vt:lpstr>
      <vt:lpstr>Calendar8Month</vt:lpstr>
      <vt:lpstr>Calendar8Year</vt:lpstr>
      <vt:lpstr>Calendar9Month</vt:lpstr>
      <vt:lpstr>Calendar9Year</vt:lpstr>
      <vt:lpstr>日历!Print_Area</vt:lpstr>
      <vt:lpstr>WeekStart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Administrator</dc:creator>
  <cp:lastModifiedBy>Administrator</cp:lastModifiedBy>
  <dcterms:created xsi:type="dcterms:W3CDTF">2016-07-26T15:53:57Z</dcterms:created>
  <dcterms:modified xsi:type="dcterms:W3CDTF">2018-03-29T06:35:31Z</dcterms:modified>
</cp:coreProperties>
</file>